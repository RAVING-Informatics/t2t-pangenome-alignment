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00104561_uwa_edu_au/Documents/Research/Projects/AIM1_DATA-REANALYSIS/hprc-realignment/benchmark/variants/mendel_viol/"/>
    </mc:Choice>
  </mc:AlternateContent>
  <xr:revisionPtr revIDLastSave="405" documentId="8_{8E23443D-FF22-1A42-B4B8-C1D490E7CB9C}" xr6:coauthVersionLast="47" xr6:coauthVersionMax="47" xr10:uidLastSave="{9890D834-B6CA-064A-BDC4-6E320CA7C139}"/>
  <bookViews>
    <workbookView xWindow="40940" yWindow="1980" windowWidth="38400" windowHeight="19900" firstSheet="1" activeTab="1" xr2:uid="{D372D73D-CC15-BA45-A901-90C952F1B3A3}"/>
  </bookViews>
  <sheets>
    <sheet name="Notes" sheetId="11" r:id="rId1"/>
    <sheet name="combined.fixed" sheetId="7" r:id="rId2"/>
    <sheet name="hprc-v1.1-mc-grch38.MVs.fix" sheetId="6" r:id="rId3"/>
    <sheet name="hprc-v1.1-mc-grch38.exons.fix" sheetId="9" r:id="rId4"/>
    <sheet name="hprc-v1.1-mc-chm13.MVs.fix" sheetId="10" r:id="rId5"/>
    <sheet name="hprc-v1.1-mc-chm13.exons.fix" sheetId="8" r:id="rId6"/>
    <sheet name="combined" sheetId="1" r:id="rId7"/>
    <sheet name="hprc-v1.1-mc-grch38.MVs.byFamil" sheetId="2" r:id="rId8"/>
    <sheet name="hprc-v1.1-mc-chm13.MVs.byFamily" sheetId="3" r:id="rId9"/>
    <sheet name="hprc-v1.1-mc-chm13.gff.exons.MV" sheetId="5" r:id="rId10"/>
    <sheet name="hprc-v1.1-mc-grch38.gff.exons.M" sheetId="4" r:id="rId11"/>
  </sheets>
  <definedNames>
    <definedName name="_xlnm._FilterDatabase" localSheetId="2" hidden="1">'hprc-v1.1-mc-grch38.MVs.fix'!$A$1:$A$23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" i="7" l="1"/>
  <c r="Y21" i="7"/>
  <c r="Z21" i="7"/>
  <c r="AA21" i="7"/>
  <c r="AB21" i="7"/>
  <c r="W21" i="7"/>
  <c r="Q21" i="7"/>
  <c r="R21" i="7"/>
  <c r="S21" i="7"/>
  <c r="T21" i="7"/>
  <c r="U21" i="7"/>
  <c r="P21" i="7"/>
  <c r="J21" i="7"/>
  <c r="K21" i="7"/>
  <c r="L21" i="7"/>
  <c r="M21" i="7"/>
  <c r="N21" i="7"/>
  <c r="I21" i="7"/>
  <c r="C21" i="7"/>
  <c r="D21" i="7"/>
  <c r="E21" i="7"/>
  <c r="F21" i="7"/>
  <c r="G21" i="7"/>
  <c r="B21" i="7"/>
  <c r="H21" i="7"/>
  <c r="AC21" i="7" l="1"/>
  <c r="V21" i="7"/>
  <c r="C27" i="7" s="1"/>
  <c r="O21" i="7"/>
  <c r="C26" i="7"/>
  <c r="H27" i="7" l="1"/>
  <c r="H26" i="7"/>
  <c r="G27" i="7"/>
  <c r="G26" i="7"/>
  <c r="D27" i="7"/>
  <c r="D26" i="7"/>
  <c r="AB20" i="7"/>
  <c r="U20" i="7"/>
  <c r="N20" i="7"/>
  <c r="G20" i="7"/>
  <c r="J20" i="7"/>
  <c r="K20" i="7"/>
  <c r="L20" i="7"/>
  <c r="M20" i="7"/>
  <c r="I20" i="7"/>
  <c r="C20" i="7"/>
  <c r="D20" i="7"/>
  <c r="E20" i="7"/>
  <c r="F20" i="7"/>
  <c r="B20" i="7"/>
  <c r="E26" i="7" l="1"/>
  <c r="Q20" i="7"/>
  <c r="R20" i="7"/>
  <c r="S20" i="7"/>
  <c r="T20" i="7"/>
  <c r="V20" i="7"/>
  <c r="W20" i="7"/>
  <c r="X20" i="7"/>
  <c r="Y20" i="7"/>
  <c r="Z20" i="7"/>
  <c r="AA20" i="7"/>
  <c r="P20" i="7"/>
  <c r="AC19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F26" i="7" l="1"/>
  <c r="E27" i="7"/>
  <c r="F27" i="7"/>
  <c r="H19" i="7"/>
  <c r="AC18" i="7"/>
  <c r="H18" i="7"/>
  <c r="AC17" i="7"/>
  <c r="H17" i="7"/>
  <c r="AC16" i="7"/>
  <c r="H16" i="7"/>
  <c r="AC15" i="7"/>
  <c r="H15" i="7"/>
  <c r="AC14" i="7"/>
  <c r="H14" i="7"/>
  <c r="AC13" i="7"/>
  <c r="H13" i="7"/>
  <c r="AC12" i="7"/>
  <c r="H12" i="7"/>
  <c r="AC11" i="7"/>
  <c r="H11" i="7"/>
  <c r="AC10" i="7"/>
  <c r="H10" i="7"/>
  <c r="AC9" i="7"/>
  <c r="H9" i="7"/>
  <c r="AC8" i="7"/>
  <c r="H8" i="7"/>
  <c r="AC7" i="7"/>
  <c r="H7" i="7"/>
  <c r="AC6" i="7"/>
  <c r="H6" i="7"/>
  <c r="AC5" i="7"/>
  <c r="H5" i="7"/>
  <c r="AC4" i="7"/>
  <c r="O4" i="7"/>
  <c r="O20" i="7" s="1"/>
  <c r="H4" i="7"/>
  <c r="G21" i="1"/>
  <c r="G20" i="1"/>
  <c r="S21" i="1"/>
  <c r="AJ21" i="1"/>
  <c r="AK21" i="1" s="1"/>
  <c r="AI21" i="1"/>
  <c r="AH21" i="1"/>
  <c r="AG21" i="1"/>
  <c r="AF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R21" i="1"/>
  <c r="Q21" i="1"/>
  <c r="P21" i="1"/>
  <c r="O21" i="1"/>
  <c r="N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L21" i="1"/>
  <c r="K21" i="1"/>
  <c r="J21" i="1"/>
  <c r="I21" i="1"/>
  <c r="H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AC21" i="1"/>
  <c r="AD21" i="1"/>
  <c r="AB21" i="1"/>
  <c r="AA21" i="1"/>
  <c r="Z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X21" i="1"/>
  <c r="G4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B21" i="1"/>
  <c r="C21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4" i="1"/>
  <c r="T21" i="1"/>
  <c r="U21" i="1"/>
  <c r="V21" i="1"/>
  <c r="E21" i="1"/>
  <c r="F21" i="1"/>
  <c r="W21" i="1"/>
  <c r="D21" i="1"/>
  <c r="H20" i="7" l="1"/>
  <c r="AC20" i="7"/>
  <c r="M21" i="1"/>
  <c r="AE21" i="1"/>
  <c r="Y21" i="1"/>
</calcChain>
</file>

<file path=xl/sharedStrings.xml><?xml version="1.0" encoding="utf-8"?>
<sst xmlns="http://schemas.openxmlformats.org/spreadsheetml/2006/main" count="839" uniqueCount="64">
  <si>
    <t>nLowQual</t>
  </si>
  <si>
    <t>nLociViolations</t>
  </si>
  <si>
    <t>nViolations</t>
  </si>
  <si>
    <t>SUM</t>
  </si>
  <si>
    <t>MEDIAN</t>
  </si>
  <si>
    <t>all</t>
  </si>
  <si>
    <t>eval</t>
  </si>
  <si>
    <t>none</t>
  </si>
  <si>
    <t>MendelianViolationEvaluator</t>
  </si>
  <si>
    <t>HomVarHet_inheritedVar</t>
  </si>
  <si>
    <t>HomVarHet_inheritedRef</t>
  </si>
  <si>
    <t>HomRefHet_inheritedVar</t>
  </si>
  <si>
    <t>HomRefHet_inheritedRef</t>
  </si>
  <si>
    <t>HetHet_inheritedVar</t>
  </si>
  <si>
    <t>HetHet_inheritedRef</t>
  </si>
  <si>
    <t>HomRefHomVAR_Het</t>
  </si>
  <si>
    <t>HomVarHomVar_HomVar</t>
  </si>
  <si>
    <t>HetHet_HomVar</t>
  </si>
  <si>
    <t>HetHet_HomRef</t>
  </si>
  <si>
    <t>HetHet_Het</t>
  </si>
  <si>
    <t>HomRefHomRef_HomRef</t>
  </si>
  <si>
    <t>mvVarVar_Het</t>
  </si>
  <si>
    <t>mvVarVar_Ref</t>
  </si>
  <si>
    <t>mvVarHet_Ref</t>
  </si>
  <si>
    <t>mvRefVar_Ref</t>
  </si>
  <si>
    <t>mvRefVar_Var</t>
  </si>
  <si>
    <t>mvRefHet_Var</t>
  </si>
  <si>
    <t>mvRefRef_Het</t>
  </si>
  <si>
    <t>mvRefRef_Var</t>
  </si>
  <si>
    <t>nNoCall</t>
  </si>
  <si>
    <t>nVarFamCalled</t>
  </si>
  <si>
    <t>nFamCalled</t>
  </si>
  <si>
    <t>nSkipped</t>
  </si>
  <si>
    <t>nVariants</t>
  </si>
  <si>
    <t>Family</t>
  </si>
  <si>
    <t>EvalFeatureInput</t>
  </si>
  <si>
    <t>CompFeatureInput</t>
  </si>
  <si>
    <t>Evaluator</t>
  </si>
  <si>
    <t>Violation</t>
  </si>
  <si>
    <t>#:GATKTable:MendelianViolationEvaluator:Mendelian</t>
  </si>
  <si>
    <t>#:GATKTable:32:18:%s:%s:%s:%s:%d:%d:%d:%d:%d:%d:%d:%d:%d:%d:%d:%d:%d:%d:%d:%d:%d:%d:%d:%d:%d:%d:%d:%d:%d:%d:%d:%d:;</t>
  </si>
  <si>
    <t>#:GATKReport.v1.1:1</t>
  </si>
  <si>
    <t>#:GATKTable:MendelianViolationEvaluator:Mendelian Violation Evaluator</t>
  </si>
  <si>
    <t>FamID</t>
  </si>
  <si>
    <t>Rate</t>
  </si>
  <si>
    <t>chm13 - wgs</t>
  </si>
  <si>
    <t>grch38 - wgs</t>
  </si>
  <si>
    <t>grch38 - exome</t>
  </si>
  <si>
    <t>chm13 - exome</t>
  </si>
  <si>
    <t>chm13-gq20</t>
  </si>
  <si>
    <t>grch38 - gq20</t>
  </si>
  <si>
    <t>Genome</t>
  </si>
  <si>
    <t>Exome</t>
  </si>
  <si>
    <t>GQ20</t>
  </si>
  <si>
    <t>CHM13</t>
  </si>
  <si>
    <t>GRCh38</t>
  </si>
  <si>
    <t>#:GATKTable:32:19:%s:%s:%s:%s:%d:%d:%d:%d:%d:%d:%d:%d:%d:%d:%d:%d:%d:%d:%d:%d:%d:%d:%d:%d:%d:%d:%d:%d:%d:%d:%d:%d:;</t>
  </si>
  <si>
    <t>Mendelian Violations</t>
  </si>
  <si>
    <t>No Low Qual Var</t>
  </si>
  <si>
    <t>HPRC-CHM13</t>
  </si>
  <si>
    <t>HPRC-GRCh38</t>
  </si>
  <si>
    <t>"Fixed" refers to mendelian violations calculated using the cohort VCF files and ped file with the incorrect sample removed. D23-0047 - which is a duplicated sample</t>
  </si>
  <si>
    <t>Denovo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</si>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</sst>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71" formatCode="0.000000"/>
    <numFmt numFmtId="173" formatCode="0.0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0" fontId="0" fillId="8" borderId="1" xfId="1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9" borderId="1" xfId="1" applyNumberFormat="1" applyFont="1" applyFill="1" applyBorder="1" applyAlignment="1">
      <alignment horizontal="center" vertical="center"/>
    </xf>
    <xf numFmtId="10" fontId="0" fillId="10" borderId="1" xfId="1" applyNumberFormat="1" applyFont="1" applyFill="1" applyBorder="1"/>
    <xf numFmtId="0" fontId="2" fillId="10" borderId="1" xfId="0" applyFont="1" applyFill="1" applyBorder="1"/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71" fontId="0" fillId="3" borderId="1" xfId="1" applyNumberFormat="1" applyFont="1" applyFill="1" applyBorder="1" applyAlignment="1">
      <alignment horizontal="center" vertical="center"/>
    </xf>
    <xf numFmtId="171" fontId="0" fillId="3" borderId="1" xfId="0" applyNumberFormat="1" applyFill="1" applyBorder="1" applyAlignment="1">
      <alignment horizontal="center" vertical="center"/>
    </xf>
    <xf numFmtId="171" fontId="0" fillId="4" borderId="1" xfId="1" applyNumberFormat="1" applyFont="1" applyFill="1" applyBorder="1" applyAlignment="1">
      <alignment horizontal="center" vertical="center"/>
    </xf>
    <xf numFmtId="171" fontId="0" fillId="4" borderId="1" xfId="0" applyNumberFormat="1" applyFill="1" applyBorder="1" applyAlignment="1">
      <alignment horizontal="center" vertical="center"/>
    </xf>
    <xf numFmtId="173" fontId="0" fillId="3" borderId="1" xfId="1" applyNumberFormat="1" applyFont="1" applyFill="1" applyBorder="1" applyAlignment="1">
      <alignment horizontal="center" vertical="center"/>
    </xf>
    <xf numFmtId="173" fontId="0" fillId="3" borderId="1" xfId="0" applyNumberForma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BB8C-AB86-C747-B429-681FDBDE4602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B208-A005-034B-9A72-1E6B018E041C}">
  <dimension ref="A2:AC27"/>
  <sheetViews>
    <sheetView tabSelected="1" zoomScale="160" zoomScaleNormal="160" workbookViewId="0">
      <selection activeCell="C26" sqref="C26:H27"/>
    </sheetView>
  </sheetViews>
  <sheetFormatPr baseColWidth="10" defaultRowHeight="16" x14ac:dyDescent="0.2"/>
  <cols>
    <col min="1" max="1" width="7.83203125" bestFit="1" customWidth="1"/>
    <col min="2" max="2" width="14.33203125" customWidth="1"/>
    <col min="3" max="3" width="14" bestFit="1" customWidth="1"/>
    <col min="4" max="4" width="10.5" bestFit="1" customWidth="1"/>
    <col min="5" max="5" width="11.6640625" customWidth="1"/>
    <col min="6" max="7" width="10.5" customWidth="1"/>
    <col min="8" max="8" width="12.33203125" customWidth="1"/>
    <col min="9" max="9" width="10.1640625" bestFit="1" customWidth="1"/>
    <col min="10" max="10" width="11.1640625" bestFit="1" customWidth="1"/>
    <col min="11" max="11" width="10.1640625" bestFit="1" customWidth="1"/>
    <col min="12" max="12" width="14" bestFit="1" customWidth="1"/>
    <col min="13" max="13" width="10.5" bestFit="1" customWidth="1"/>
    <col min="14" max="14" width="10.5" customWidth="1"/>
  </cols>
  <sheetData>
    <row r="2" spans="1:29" x14ac:dyDescent="0.2">
      <c r="A2" s="2"/>
      <c r="B2" s="30" t="s">
        <v>45</v>
      </c>
      <c r="C2" s="30"/>
      <c r="D2" s="30"/>
      <c r="E2" s="30"/>
      <c r="F2" s="30"/>
      <c r="G2" s="30"/>
      <c r="H2" s="30"/>
      <c r="I2" s="30" t="s">
        <v>48</v>
      </c>
      <c r="J2" s="30"/>
      <c r="K2" s="30"/>
      <c r="L2" s="30"/>
      <c r="M2" s="30"/>
      <c r="N2" s="30"/>
      <c r="O2" s="30"/>
      <c r="P2" s="31" t="s">
        <v>46</v>
      </c>
      <c r="Q2" s="31"/>
      <c r="R2" s="31"/>
      <c r="S2" s="31"/>
      <c r="T2" s="31"/>
      <c r="U2" s="31"/>
      <c r="V2" s="31"/>
      <c r="W2" s="31" t="s">
        <v>47</v>
      </c>
      <c r="X2" s="31"/>
      <c r="Y2" s="31"/>
      <c r="Z2" s="31"/>
      <c r="AA2" s="31"/>
      <c r="AB2" s="31"/>
      <c r="AC2" s="31"/>
    </row>
    <row r="3" spans="1:29" x14ac:dyDescent="0.2">
      <c r="A3" s="16" t="s">
        <v>43</v>
      </c>
      <c r="B3" s="4" t="s">
        <v>33</v>
      </c>
      <c r="C3" s="4" t="s">
        <v>31</v>
      </c>
      <c r="D3" s="4" t="s">
        <v>0</v>
      </c>
      <c r="E3" s="4" t="s">
        <v>1</v>
      </c>
      <c r="F3" s="4" t="s">
        <v>2</v>
      </c>
      <c r="G3" s="4" t="s">
        <v>62</v>
      </c>
      <c r="H3" s="4" t="s">
        <v>44</v>
      </c>
      <c r="I3" s="4" t="s">
        <v>33</v>
      </c>
      <c r="J3" s="4" t="s">
        <v>31</v>
      </c>
      <c r="K3" s="4" t="s">
        <v>0</v>
      </c>
      <c r="L3" s="4" t="s">
        <v>1</v>
      </c>
      <c r="M3" s="4" t="s">
        <v>2</v>
      </c>
      <c r="N3" s="4" t="s">
        <v>62</v>
      </c>
      <c r="O3" s="4" t="s">
        <v>44</v>
      </c>
      <c r="P3" s="5" t="s">
        <v>33</v>
      </c>
      <c r="Q3" s="5" t="s">
        <v>31</v>
      </c>
      <c r="R3" s="5" t="s">
        <v>0</v>
      </c>
      <c r="S3" s="5" t="s">
        <v>1</v>
      </c>
      <c r="T3" s="5" t="s">
        <v>2</v>
      </c>
      <c r="U3" s="5" t="s">
        <v>62</v>
      </c>
      <c r="V3" s="5" t="s">
        <v>44</v>
      </c>
      <c r="W3" s="5" t="s">
        <v>33</v>
      </c>
      <c r="X3" s="5" t="s">
        <v>31</v>
      </c>
      <c r="Y3" s="5" t="s">
        <v>0</v>
      </c>
      <c r="Z3" s="5" t="s">
        <v>1</v>
      </c>
      <c r="AA3" s="5" t="s">
        <v>2</v>
      </c>
      <c r="AB3" s="5" t="s">
        <v>62</v>
      </c>
      <c r="AC3" s="5" t="s">
        <v>44</v>
      </c>
    </row>
    <row r="4" spans="1:29" x14ac:dyDescent="0.2">
      <c r="A4" s="3">
        <v>10105</v>
      </c>
      <c r="B4" s="6">
        <v>5803548</v>
      </c>
      <c r="C4" s="6">
        <v>898840</v>
      </c>
      <c r="D4" s="6">
        <v>4904708</v>
      </c>
      <c r="E4" s="6">
        <v>822</v>
      </c>
      <c r="F4" s="6">
        <v>822</v>
      </c>
      <c r="G4" s="6">
        <v>16</v>
      </c>
      <c r="H4" s="43">
        <f>F4/C4</f>
        <v>9.1451203773752841E-4</v>
      </c>
      <c r="I4" s="6">
        <v>138314</v>
      </c>
      <c r="J4" s="6">
        <v>21639</v>
      </c>
      <c r="K4" s="6">
        <v>116675</v>
      </c>
      <c r="L4" s="6">
        <v>9</v>
      </c>
      <c r="M4" s="6">
        <v>9</v>
      </c>
      <c r="N4" s="6">
        <v>0</v>
      </c>
      <c r="O4" s="39">
        <f>M4/J4</f>
        <v>4.1591570774989601E-4</v>
      </c>
      <c r="P4" s="7">
        <v>6013318</v>
      </c>
      <c r="Q4" s="7">
        <v>1203117</v>
      </c>
      <c r="R4" s="7">
        <v>4810201</v>
      </c>
      <c r="S4" s="7">
        <v>680</v>
      </c>
      <c r="T4" s="7">
        <v>680</v>
      </c>
      <c r="U4" s="7">
        <v>9</v>
      </c>
      <c r="V4" s="41">
        <v>5.6519856339823978E-4</v>
      </c>
      <c r="W4" s="7">
        <v>145710</v>
      </c>
      <c r="X4" s="7">
        <v>28579</v>
      </c>
      <c r="Y4" s="7">
        <v>117131</v>
      </c>
      <c r="Z4" s="7">
        <v>26</v>
      </c>
      <c r="AA4" s="7">
        <v>26</v>
      </c>
      <c r="AB4" s="7">
        <v>0</v>
      </c>
      <c r="AC4" s="41">
        <f>AA4/X4</f>
        <v>9.0975891388781968E-4</v>
      </c>
    </row>
    <row r="5" spans="1:29" x14ac:dyDescent="0.2">
      <c r="A5" s="3">
        <v>11123</v>
      </c>
      <c r="B5" s="6">
        <v>6073191</v>
      </c>
      <c r="C5" s="6">
        <v>1959619</v>
      </c>
      <c r="D5" s="6">
        <v>4113572</v>
      </c>
      <c r="E5" s="6">
        <v>16288</v>
      </c>
      <c r="F5" s="6">
        <v>16288</v>
      </c>
      <c r="G5" s="6">
        <v>18</v>
      </c>
      <c r="H5" s="43">
        <f>F5/C5</f>
        <v>8.311819797623925E-3</v>
      </c>
      <c r="I5" s="6">
        <v>145215</v>
      </c>
      <c r="J5" s="6">
        <v>53131</v>
      </c>
      <c r="K5" s="6">
        <v>92084</v>
      </c>
      <c r="L5" s="6">
        <v>243</v>
      </c>
      <c r="M5" s="6">
        <v>243</v>
      </c>
      <c r="N5" s="6">
        <v>1</v>
      </c>
      <c r="O5" s="39">
        <f>M5/J5</f>
        <v>4.5736010991699761E-3</v>
      </c>
      <c r="P5" s="7">
        <v>6236180</v>
      </c>
      <c r="Q5" s="7">
        <v>2217986</v>
      </c>
      <c r="R5" s="7">
        <v>4018194</v>
      </c>
      <c r="S5" s="7">
        <v>16362</v>
      </c>
      <c r="T5" s="7">
        <v>16362</v>
      </c>
      <c r="U5" s="7">
        <v>19</v>
      </c>
      <c r="V5" s="41">
        <v>7.37696270400264E-3</v>
      </c>
      <c r="W5" s="7">
        <v>151585</v>
      </c>
      <c r="X5" s="7">
        <v>58704</v>
      </c>
      <c r="Y5" s="7">
        <v>92881</v>
      </c>
      <c r="Z5" s="7">
        <v>245</v>
      </c>
      <c r="AA5" s="7">
        <v>245</v>
      </c>
      <c r="AB5" s="7">
        <v>1</v>
      </c>
      <c r="AC5" s="41">
        <f>AA5/X5</f>
        <v>4.173480512401199E-3</v>
      </c>
    </row>
    <row r="6" spans="1:29" x14ac:dyDescent="0.2">
      <c r="A6" s="3">
        <v>11308</v>
      </c>
      <c r="B6" s="6">
        <v>5849254</v>
      </c>
      <c r="C6" s="6">
        <v>1282987</v>
      </c>
      <c r="D6" s="6">
        <v>4566267</v>
      </c>
      <c r="E6" s="6">
        <v>17880</v>
      </c>
      <c r="F6" s="6">
        <v>17880</v>
      </c>
      <c r="G6" s="6">
        <v>60</v>
      </c>
      <c r="H6" s="43">
        <f>F6/C6</f>
        <v>1.3936228504263877E-2</v>
      </c>
      <c r="I6" s="6">
        <v>138899</v>
      </c>
      <c r="J6" s="6">
        <v>37243</v>
      </c>
      <c r="K6" s="6">
        <v>101656</v>
      </c>
      <c r="L6" s="6">
        <v>240</v>
      </c>
      <c r="M6" s="6">
        <v>240</v>
      </c>
      <c r="N6" s="6">
        <v>1</v>
      </c>
      <c r="O6" s="39">
        <f>M6/J6</f>
        <v>6.4441640039739016E-3</v>
      </c>
      <c r="P6" s="7">
        <v>6053829</v>
      </c>
      <c r="Q6" s="7">
        <v>1544634</v>
      </c>
      <c r="R6" s="7">
        <v>4509195</v>
      </c>
      <c r="S6" s="7">
        <v>17958</v>
      </c>
      <c r="T6" s="7">
        <v>17958</v>
      </c>
      <c r="U6" s="7">
        <v>47</v>
      </c>
      <c r="V6" s="41">
        <v>1.1626055104315974E-2</v>
      </c>
      <c r="W6" s="7">
        <v>146682</v>
      </c>
      <c r="X6" s="7">
        <v>43477</v>
      </c>
      <c r="Y6" s="7">
        <v>103205</v>
      </c>
      <c r="Z6" s="7">
        <v>244</v>
      </c>
      <c r="AA6" s="7">
        <v>244</v>
      </c>
      <c r="AB6" s="7">
        <v>0</v>
      </c>
      <c r="AC6" s="41">
        <f>AA6/X6</f>
        <v>5.6121627527198287E-3</v>
      </c>
    </row>
    <row r="7" spans="1:29" x14ac:dyDescent="0.2">
      <c r="A7" s="3">
        <v>16337</v>
      </c>
      <c r="B7" s="6">
        <v>5890039</v>
      </c>
      <c r="C7" s="6">
        <v>1697453</v>
      </c>
      <c r="D7" s="6">
        <v>4192586</v>
      </c>
      <c r="E7" s="6">
        <v>14459</v>
      </c>
      <c r="F7" s="6">
        <v>14459</v>
      </c>
      <c r="G7" s="6">
        <v>29</v>
      </c>
      <c r="H7" s="43">
        <f>F7/C7</f>
        <v>8.5180561700382868E-3</v>
      </c>
      <c r="I7" s="6">
        <v>139224</v>
      </c>
      <c r="J7" s="6">
        <v>46337</v>
      </c>
      <c r="K7" s="6">
        <v>92887</v>
      </c>
      <c r="L7" s="6">
        <v>198</v>
      </c>
      <c r="M7" s="6">
        <v>198</v>
      </c>
      <c r="N7" s="6">
        <v>0</v>
      </c>
      <c r="O7" s="39">
        <f>M7/J7</f>
        <v>4.2730431404708977E-3</v>
      </c>
      <c r="P7" s="7">
        <v>6099655</v>
      </c>
      <c r="Q7" s="7">
        <v>1989198</v>
      </c>
      <c r="R7" s="7">
        <v>4110457</v>
      </c>
      <c r="S7" s="7">
        <v>14794</v>
      </c>
      <c r="T7" s="7">
        <v>14794</v>
      </c>
      <c r="U7" s="7">
        <v>25</v>
      </c>
      <c r="V7" s="41">
        <v>7.437168145151966E-3</v>
      </c>
      <c r="W7" s="7">
        <v>147411</v>
      </c>
      <c r="X7" s="7">
        <v>53434</v>
      </c>
      <c r="Y7" s="7">
        <v>93977</v>
      </c>
      <c r="Z7" s="7">
        <v>219</v>
      </c>
      <c r="AA7" s="7">
        <v>219</v>
      </c>
      <c r="AB7" s="7">
        <v>1</v>
      </c>
      <c r="AC7" s="41">
        <f>AA7/X7</f>
        <v>4.0985140547217126E-3</v>
      </c>
    </row>
    <row r="8" spans="1:29" x14ac:dyDescent="0.2">
      <c r="A8" s="3">
        <v>16566</v>
      </c>
      <c r="B8" s="6">
        <v>5885717</v>
      </c>
      <c r="C8" s="6">
        <v>525302</v>
      </c>
      <c r="D8" s="6">
        <v>5360415</v>
      </c>
      <c r="E8" s="6">
        <v>243</v>
      </c>
      <c r="F8" s="6">
        <v>243</v>
      </c>
      <c r="G8" s="6">
        <v>1</v>
      </c>
      <c r="H8" s="43">
        <f>F8/C8</f>
        <v>4.6259104286676996E-4</v>
      </c>
      <c r="I8" s="6">
        <v>140345</v>
      </c>
      <c r="J8" s="6">
        <v>13589</v>
      </c>
      <c r="K8" s="6">
        <v>126756</v>
      </c>
      <c r="L8" s="6">
        <v>1</v>
      </c>
      <c r="M8" s="6">
        <v>1</v>
      </c>
      <c r="N8" s="6">
        <v>0</v>
      </c>
      <c r="O8" s="39">
        <f>M8/J8</f>
        <v>7.3588932224593419E-5</v>
      </c>
      <c r="P8" s="7">
        <v>6082700</v>
      </c>
      <c r="Q8" s="7">
        <v>775774</v>
      </c>
      <c r="R8" s="7">
        <v>5306926</v>
      </c>
      <c r="S8" s="7">
        <v>226</v>
      </c>
      <c r="T8" s="7">
        <v>226</v>
      </c>
      <c r="U8" s="7">
        <v>1</v>
      </c>
      <c r="V8" s="41">
        <v>2.913219571679381E-4</v>
      </c>
      <c r="W8" s="7">
        <v>147740</v>
      </c>
      <c r="X8" s="7">
        <v>19746</v>
      </c>
      <c r="Y8" s="7">
        <v>127994</v>
      </c>
      <c r="Z8" s="7">
        <v>7</v>
      </c>
      <c r="AA8" s="7">
        <v>7</v>
      </c>
      <c r="AB8" s="7">
        <v>0</v>
      </c>
      <c r="AC8" s="41">
        <f>AA8/X8</f>
        <v>3.5450217765623415E-4</v>
      </c>
    </row>
    <row r="9" spans="1:29" x14ac:dyDescent="0.2">
      <c r="A9" s="3">
        <v>17959</v>
      </c>
      <c r="B9" s="6">
        <v>5863693</v>
      </c>
      <c r="C9" s="6">
        <v>543605</v>
      </c>
      <c r="D9" s="6">
        <v>5320088</v>
      </c>
      <c r="E9" s="6">
        <v>253</v>
      </c>
      <c r="F9" s="6">
        <v>253</v>
      </c>
      <c r="G9" s="6">
        <v>4</v>
      </c>
      <c r="H9" s="43">
        <f>F9/C9</f>
        <v>4.6541146604611803E-4</v>
      </c>
      <c r="I9" s="6">
        <v>140220</v>
      </c>
      <c r="J9" s="6">
        <v>13818</v>
      </c>
      <c r="K9" s="6">
        <v>126402</v>
      </c>
      <c r="L9" s="6">
        <v>0</v>
      </c>
      <c r="M9" s="6">
        <v>0</v>
      </c>
      <c r="N9" s="6">
        <v>0</v>
      </c>
      <c r="O9" s="39">
        <f>M9/J9</f>
        <v>0</v>
      </c>
      <c r="P9" s="7">
        <v>6070289</v>
      </c>
      <c r="Q9" s="7">
        <v>816285</v>
      </c>
      <c r="R9" s="7">
        <v>5254004</v>
      </c>
      <c r="S9" s="7">
        <v>204</v>
      </c>
      <c r="T9" s="7">
        <v>204</v>
      </c>
      <c r="U9" s="7">
        <v>3</v>
      </c>
      <c r="V9" s="41">
        <v>2.4991271430934049E-4</v>
      </c>
      <c r="W9" s="7">
        <v>147300</v>
      </c>
      <c r="X9" s="7">
        <v>19975</v>
      </c>
      <c r="Y9" s="7">
        <v>127325</v>
      </c>
      <c r="Z9" s="7">
        <v>0</v>
      </c>
      <c r="AA9" s="7">
        <v>0</v>
      </c>
      <c r="AB9" s="7">
        <v>0</v>
      </c>
      <c r="AC9" s="41">
        <f>AA9/X9</f>
        <v>0</v>
      </c>
    </row>
    <row r="10" spans="1:29" x14ac:dyDescent="0.2">
      <c r="A10" s="3">
        <v>19992</v>
      </c>
      <c r="B10" s="6">
        <v>5835547</v>
      </c>
      <c r="C10" s="6">
        <v>1796123</v>
      </c>
      <c r="D10" s="6">
        <v>4039424</v>
      </c>
      <c r="E10" s="6">
        <v>402</v>
      </c>
      <c r="F10" s="6">
        <v>402</v>
      </c>
      <c r="G10" s="6">
        <v>32</v>
      </c>
      <c r="H10" s="43">
        <f>F10/C10</f>
        <v>2.2381540685131253E-4</v>
      </c>
      <c r="I10" s="6">
        <v>139297</v>
      </c>
      <c r="J10" s="6">
        <v>48775</v>
      </c>
      <c r="K10" s="6">
        <v>90522</v>
      </c>
      <c r="L10" s="6">
        <v>2</v>
      </c>
      <c r="M10" s="6">
        <v>2</v>
      </c>
      <c r="N10" s="6">
        <v>1</v>
      </c>
      <c r="O10" s="39">
        <f>M10/J10</f>
        <v>4.1004613018964633E-5</v>
      </c>
      <c r="P10" s="7">
        <v>6045342</v>
      </c>
      <c r="Q10" s="7">
        <v>2075637</v>
      </c>
      <c r="R10" s="7">
        <v>3969705</v>
      </c>
      <c r="S10" s="7">
        <v>264</v>
      </c>
      <c r="T10" s="7">
        <v>264</v>
      </c>
      <c r="U10" s="7">
        <v>22</v>
      </c>
      <c r="V10" s="41">
        <v>1.2718986990499783E-4</v>
      </c>
      <c r="W10" s="7">
        <v>146621</v>
      </c>
      <c r="X10" s="7">
        <v>55229</v>
      </c>
      <c r="Y10" s="7">
        <v>91392</v>
      </c>
      <c r="Z10" s="7">
        <v>10</v>
      </c>
      <c r="AA10" s="7">
        <v>10</v>
      </c>
      <c r="AB10" s="7">
        <v>2</v>
      </c>
      <c r="AC10" s="41">
        <f>AA10/X10</f>
        <v>1.8106429593148528E-4</v>
      </c>
    </row>
    <row r="11" spans="1:29" x14ac:dyDescent="0.2">
      <c r="A11" s="3">
        <v>19997</v>
      </c>
      <c r="B11" s="6">
        <v>6097086</v>
      </c>
      <c r="C11" s="6">
        <v>1808473</v>
      </c>
      <c r="D11" s="6">
        <v>4288613</v>
      </c>
      <c r="E11" s="6">
        <v>19891</v>
      </c>
      <c r="F11" s="6">
        <v>19891</v>
      </c>
      <c r="G11" s="6">
        <v>43</v>
      </c>
      <c r="H11" s="43">
        <f>F11/C11</f>
        <v>1.0998781845236285E-2</v>
      </c>
      <c r="I11" s="6">
        <v>145133</v>
      </c>
      <c r="J11" s="6">
        <v>49722</v>
      </c>
      <c r="K11" s="6">
        <v>95411</v>
      </c>
      <c r="L11" s="6">
        <v>213</v>
      </c>
      <c r="M11" s="6">
        <v>213</v>
      </c>
      <c r="N11" s="6">
        <v>2</v>
      </c>
      <c r="O11" s="39">
        <f>M11/J11</f>
        <v>4.2838180282369978E-3</v>
      </c>
      <c r="P11" s="7">
        <v>6244542</v>
      </c>
      <c r="Q11" s="7">
        <v>2048396</v>
      </c>
      <c r="R11" s="7">
        <v>4196146</v>
      </c>
      <c r="S11" s="7">
        <v>19462</v>
      </c>
      <c r="T11" s="7">
        <v>19462</v>
      </c>
      <c r="U11" s="7">
        <v>32</v>
      </c>
      <c r="V11" s="41">
        <v>9.5010925621803605E-3</v>
      </c>
      <c r="W11" s="7">
        <v>151542</v>
      </c>
      <c r="X11" s="7">
        <v>54907</v>
      </c>
      <c r="Y11" s="7">
        <v>96635</v>
      </c>
      <c r="Z11" s="7">
        <v>230</v>
      </c>
      <c r="AA11" s="7">
        <v>230</v>
      </c>
      <c r="AB11" s="7">
        <v>2</v>
      </c>
      <c r="AC11" s="41">
        <f>AA11/X11</f>
        <v>4.1889012329939714E-3</v>
      </c>
    </row>
    <row r="12" spans="1:29" x14ac:dyDescent="0.2">
      <c r="A12" s="3">
        <v>2357</v>
      </c>
      <c r="B12" s="6">
        <v>5854420</v>
      </c>
      <c r="C12" s="6">
        <v>1894711</v>
      </c>
      <c r="D12" s="6">
        <v>3959709</v>
      </c>
      <c r="E12" s="6">
        <v>10338</v>
      </c>
      <c r="F12" s="6">
        <v>10338</v>
      </c>
      <c r="G12" s="6">
        <v>26</v>
      </c>
      <c r="H12" s="43">
        <f>F12/C12</f>
        <v>5.4562410837325588E-3</v>
      </c>
      <c r="I12" s="6">
        <v>139224</v>
      </c>
      <c r="J12" s="6">
        <v>50373</v>
      </c>
      <c r="K12" s="6">
        <v>88851</v>
      </c>
      <c r="L12" s="6">
        <v>127</v>
      </c>
      <c r="M12" s="6">
        <v>127</v>
      </c>
      <c r="N12" s="6">
        <v>1</v>
      </c>
      <c r="O12" s="39">
        <f>M12/J12</f>
        <v>2.5211919083636073E-3</v>
      </c>
      <c r="P12" s="7">
        <v>6037392</v>
      </c>
      <c r="Q12" s="7">
        <v>2166144</v>
      </c>
      <c r="R12" s="7">
        <v>3871248</v>
      </c>
      <c r="S12" s="7">
        <v>10318</v>
      </c>
      <c r="T12" s="7">
        <v>10318</v>
      </c>
      <c r="U12" s="7">
        <v>22</v>
      </c>
      <c r="V12" s="41">
        <v>4.7633029013768244E-3</v>
      </c>
      <c r="W12" s="7">
        <v>147154</v>
      </c>
      <c r="X12" s="7">
        <v>56660</v>
      </c>
      <c r="Y12" s="7">
        <v>90494</v>
      </c>
      <c r="Z12" s="7">
        <v>116</v>
      </c>
      <c r="AA12" s="7">
        <v>116</v>
      </c>
      <c r="AB12" s="7">
        <v>1</v>
      </c>
      <c r="AC12" s="41">
        <f>AA12/X12</f>
        <v>2.0472996823155667E-3</v>
      </c>
    </row>
    <row r="13" spans="1:29" x14ac:dyDescent="0.2">
      <c r="A13" s="3">
        <v>6188</v>
      </c>
      <c r="B13" s="6">
        <v>5859704</v>
      </c>
      <c r="C13" s="6">
        <v>1554565</v>
      </c>
      <c r="D13" s="6">
        <v>4305139</v>
      </c>
      <c r="E13" s="6">
        <v>1130</v>
      </c>
      <c r="F13" s="6">
        <v>1130</v>
      </c>
      <c r="G13" s="6">
        <v>25</v>
      </c>
      <c r="H13" s="43">
        <f>F13/C13</f>
        <v>7.2689144551691309E-4</v>
      </c>
      <c r="I13" s="6">
        <v>139036</v>
      </c>
      <c r="J13" s="6">
        <v>43740</v>
      </c>
      <c r="K13" s="6">
        <v>95296</v>
      </c>
      <c r="L13" s="6">
        <v>1</v>
      </c>
      <c r="M13" s="6">
        <v>1</v>
      </c>
      <c r="N13" s="6">
        <v>1</v>
      </c>
      <c r="O13" s="39">
        <f>M13/J13</f>
        <v>2.2862368541380887E-5</v>
      </c>
      <c r="P13" s="7">
        <v>6052783</v>
      </c>
      <c r="Q13" s="7">
        <v>1830432</v>
      </c>
      <c r="R13" s="7">
        <v>4222351</v>
      </c>
      <c r="S13" s="7">
        <v>753</v>
      </c>
      <c r="T13" s="7">
        <v>753</v>
      </c>
      <c r="U13" s="7">
        <v>23</v>
      </c>
      <c r="V13" s="41">
        <v>4.1137829758221013E-4</v>
      </c>
      <c r="W13" s="7">
        <v>147217</v>
      </c>
      <c r="X13" s="7">
        <v>50135</v>
      </c>
      <c r="Y13" s="7">
        <v>97082</v>
      </c>
      <c r="Z13" s="7">
        <v>8</v>
      </c>
      <c r="AA13" s="7">
        <v>8</v>
      </c>
      <c r="AB13" s="7">
        <v>1</v>
      </c>
      <c r="AC13" s="41">
        <f>AA13/X13</f>
        <v>1.5956916325920016E-4</v>
      </c>
    </row>
    <row r="14" spans="1:29" x14ac:dyDescent="0.2">
      <c r="A14" s="3">
        <v>6815</v>
      </c>
      <c r="B14" s="6">
        <v>5837827</v>
      </c>
      <c r="C14" s="6">
        <v>451467</v>
      </c>
      <c r="D14" s="6">
        <v>5386360</v>
      </c>
      <c r="E14" s="6">
        <v>173</v>
      </c>
      <c r="F14" s="6">
        <v>173</v>
      </c>
      <c r="G14" s="6">
        <v>3</v>
      </c>
      <c r="H14" s="43">
        <f>F14/C14</f>
        <v>3.8319522800116067E-4</v>
      </c>
      <c r="I14" s="6">
        <v>139445</v>
      </c>
      <c r="J14" s="6">
        <v>11997</v>
      </c>
      <c r="K14" s="6">
        <v>127448</v>
      </c>
      <c r="L14" s="6">
        <v>0</v>
      </c>
      <c r="M14" s="6">
        <v>0</v>
      </c>
      <c r="N14" s="6">
        <v>0</v>
      </c>
      <c r="O14" s="39">
        <f>M14/J14</f>
        <v>0</v>
      </c>
      <c r="P14" s="7">
        <v>6028885</v>
      </c>
      <c r="Q14" s="7">
        <v>684620</v>
      </c>
      <c r="R14" s="7">
        <v>5344265</v>
      </c>
      <c r="S14" s="7">
        <v>178</v>
      </c>
      <c r="T14" s="7">
        <v>178</v>
      </c>
      <c r="U14" s="7">
        <v>3</v>
      </c>
      <c r="V14" s="41">
        <v>2.5999824720282787E-4</v>
      </c>
      <c r="W14" s="7">
        <v>146290</v>
      </c>
      <c r="X14" s="7">
        <v>17547</v>
      </c>
      <c r="Y14" s="7">
        <v>128743</v>
      </c>
      <c r="Z14" s="7">
        <v>3</v>
      </c>
      <c r="AA14" s="7">
        <v>3</v>
      </c>
      <c r="AB14" s="7">
        <v>0</v>
      </c>
      <c r="AC14" s="41">
        <f>AA14/X14</f>
        <v>1.7096939647803043E-4</v>
      </c>
    </row>
    <row r="15" spans="1:29" x14ac:dyDescent="0.2">
      <c r="A15" s="3">
        <v>8037</v>
      </c>
      <c r="B15" s="6">
        <v>5985140</v>
      </c>
      <c r="C15" s="6">
        <v>840586</v>
      </c>
      <c r="D15" s="6">
        <v>10867604</v>
      </c>
      <c r="E15" s="6">
        <v>2058</v>
      </c>
      <c r="F15" s="6">
        <v>2077</v>
      </c>
      <c r="G15" s="6">
        <v>2</v>
      </c>
      <c r="H15" s="43">
        <f>F15/C15</f>
        <v>2.4708953039903115E-3</v>
      </c>
      <c r="I15" s="6">
        <v>141760</v>
      </c>
      <c r="J15" s="6">
        <v>22589</v>
      </c>
      <c r="K15" s="6">
        <v>257888</v>
      </c>
      <c r="L15" s="6">
        <v>20</v>
      </c>
      <c r="M15" s="6">
        <v>20</v>
      </c>
      <c r="N15" s="6">
        <v>0</v>
      </c>
      <c r="O15" s="39">
        <f>M15/J15</f>
        <v>8.8538669263800961E-4</v>
      </c>
      <c r="P15" s="7">
        <v>6154947</v>
      </c>
      <c r="Q15" s="7">
        <v>1279252</v>
      </c>
      <c r="R15" s="7">
        <v>10805001</v>
      </c>
      <c r="S15" s="7">
        <v>2053</v>
      </c>
      <c r="T15" s="7">
        <v>2066</v>
      </c>
      <c r="U15" s="7">
        <v>2</v>
      </c>
      <c r="V15" s="41">
        <v>1.6150062692886155E-3</v>
      </c>
      <c r="W15" s="7">
        <v>149283</v>
      </c>
      <c r="X15" s="7">
        <v>33111</v>
      </c>
      <c r="Y15" s="7">
        <v>262454</v>
      </c>
      <c r="Z15" s="7">
        <v>25</v>
      </c>
      <c r="AA15" s="7">
        <v>25</v>
      </c>
      <c r="AB15" s="7">
        <v>0</v>
      </c>
      <c r="AC15" s="41">
        <f>AA15/X15</f>
        <v>7.5503609072513666E-4</v>
      </c>
    </row>
    <row r="16" spans="1:29" x14ac:dyDescent="0.2">
      <c r="A16" s="3">
        <v>8600</v>
      </c>
      <c r="B16" s="6">
        <v>5950978</v>
      </c>
      <c r="C16" s="6">
        <v>425587</v>
      </c>
      <c r="D16" s="6">
        <v>5525391</v>
      </c>
      <c r="E16" s="6">
        <v>177</v>
      </c>
      <c r="F16" s="6">
        <v>177</v>
      </c>
      <c r="G16" s="6">
        <v>0</v>
      </c>
      <c r="H16" s="43">
        <f>F16/C16</f>
        <v>4.1589616224179781E-4</v>
      </c>
      <c r="I16" s="6">
        <v>142475</v>
      </c>
      <c r="J16" s="6">
        <v>11087</v>
      </c>
      <c r="K16" s="6">
        <v>131388</v>
      </c>
      <c r="L16" s="6">
        <v>4</v>
      </c>
      <c r="M16" s="6">
        <v>4</v>
      </c>
      <c r="N16" s="6">
        <v>0</v>
      </c>
      <c r="O16" s="39">
        <f>M16/J16</f>
        <v>3.6078289889059258E-4</v>
      </c>
      <c r="P16" s="7">
        <v>6101714</v>
      </c>
      <c r="Q16" s="7">
        <v>617921</v>
      </c>
      <c r="R16" s="7">
        <v>5483793</v>
      </c>
      <c r="S16" s="7">
        <v>163</v>
      </c>
      <c r="T16" s="7">
        <v>163</v>
      </c>
      <c r="U16" s="7">
        <v>0</v>
      </c>
      <c r="V16" s="41">
        <v>2.6378776574999068E-4</v>
      </c>
      <c r="W16" s="7">
        <v>149553</v>
      </c>
      <c r="X16" s="7">
        <v>15734</v>
      </c>
      <c r="Y16" s="7">
        <v>133819</v>
      </c>
      <c r="Z16" s="7">
        <v>4</v>
      </c>
      <c r="AA16" s="7">
        <v>4</v>
      </c>
      <c r="AB16" s="7">
        <v>0</v>
      </c>
      <c r="AC16" s="41">
        <f>AA16/X16</f>
        <v>2.5422651582560063E-4</v>
      </c>
    </row>
    <row r="17" spans="1:29" x14ac:dyDescent="0.2">
      <c r="A17" s="3">
        <v>8718</v>
      </c>
      <c r="B17" s="6">
        <v>5983108</v>
      </c>
      <c r="C17" s="6">
        <v>3789096</v>
      </c>
      <c r="D17" s="6">
        <v>7973276</v>
      </c>
      <c r="E17" s="6">
        <v>510</v>
      </c>
      <c r="F17" s="6">
        <v>558</v>
      </c>
      <c r="G17" s="6">
        <v>46</v>
      </c>
      <c r="H17" s="43">
        <f>F17/C17</f>
        <v>1.4726467737951216E-4</v>
      </c>
      <c r="I17" s="6">
        <v>140297</v>
      </c>
      <c r="J17" s="6">
        <v>100902</v>
      </c>
      <c r="K17" s="6">
        <v>177644</v>
      </c>
      <c r="L17" s="6">
        <v>2</v>
      </c>
      <c r="M17" s="6">
        <v>3</v>
      </c>
      <c r="N17" s="6">
        <v>2</v>
      </c>
      <c r="O17" s="39">
        <f>M17/J17</f>
        <v>2.9731818992685973E-5</v>
      </c>
      <c r="P17" s="7">
        <v>6142583</v>
      </c>
      <c r="Q17" s="7">
        <v>4351014</v>
      </c>
      <c r="R17" s="7">
        <v>7757570</v>
      </c>
      <c r="S17" s="7">
        <v>540</v>
      </c>
      <c r="T17" s="7">
        <v>601</v>
      </c>
      <c r="U17" s="7">
        <v>47</v>
      </c>
      <c r="V17" s="41">
        <v>1.3812872125899847E-4</v>
      </c>
      <c r="W17" s="7">
        <v>146584</v>
      </c>
      <c r="X17" s="7">
        <v>112122</v>
      </c>
      <c r="Y17" s="7">
        <v>178913</v>
      </c>
      <c r="Z17" s="7">
        <v>14</v>
      </c>
      <c r="AA17" s="7">
        <v>23</v>
      </c>
      <c r="AB17" s="7">
        <v>1</v>
      </c>
      <c r="AC17" s="41">
        <f>AA17/X17</f>
        <v>2.0513369365512566E-4</v>
      </c>
    </row>
    <row r="18" spans="1:29" x14ac:dyDescent="0.2">
      <c r="A18" s="3">
        <v>9009</v>
      </c>
      <c r="B18" s="6">
        <v>5867393</v>
      </c>
      <c r="C18" s="6">
        <v>1892734</v>
      </c>
      <c r="D18" s="6">
        <v>3974659</v>
      </c>
      <c r="E18" s="6">
        <v>323</v>
      </c>
      <c r="F18" s="6">
        <v>323</v>
      </c>
      <c r="G18" s="6">
        <v>34</v>
      </c>
      <c r="H18" s="43">
        <f>F18/C18</f>
        <v>1.706526115132924E-4</v>
      </c>
      <c r="I18" s="6">
        <v>139219</v>
      </c>
      <c r="J18" s="6">
        <v>50365</v>
      </c>
      <c r="K18" s="6">
        <v>88854</v>
      </c>
      <c r="L18" s="6">
        <v>6</v>
      </c>
      <c r="M18" s="6">
        <v>6</v>
      </c>
      <c r="N18" s="6">
        <v>1</v>
      </c>
      <c r="O18" s="39">
        <f>M18/J18</f>
        <v>1.1913034845626923E-4</v>
      </c>
      <c r="P18" s="7">
        <v>6049925</v>
      </c>
      <c r="Q18" s="7">
        <v>2182660</v>
      </c>
      <c r="R18" s="7">
        <v>3867265</v>
      </c>
      <c r="S18" s="7">
        <v>224</v>
      </c>
      <c r="T18" s="7">
        <v>224</v>
      </c>
      <c r="U18" s="7">
        <v>28</v>
      </c>
      <c r="V18" s="41">
        <v>1.026270697222655E-4</v>
      </c>
      <c r="W18" s="7">
        <v>146753</v>
      </c>
      <c r="X18" s="7">
        <v>57015</v>
      </c>
      <c r="Y18" s="7">
        <v>89738</v>
      </c>
      <c r="Z18" s="7">
        <v>7</v>
      </c>
      <c r="AA18" s="7">
        <v>7</v>
      </c>
      <c r="AB18" s="7">
        <v>2</v>
      </c>
      <c r="AC18" s="41">
        <f>AA18/X18</f>
        <v>1.2277470841006753E-4</v>
      </c>
    </row>
    <row r="19" spans="1:29" x14ac:dyDescent="0.2">
      <c r="A19" s="3">
        <v>9885</v>
      </c>
      <c r="B19" s="6">
        <v>5879759</v>
      </c>
      <c r="C19" s="6">
        <v>1924761</v>
      </c>
      <c r="D19" s="6">
        <v>3954998</v>
      </c>
      <c r="E19" s="6">
        <v>21975</v>
      </c>
      <c r="F19" s="6">
        <v>21975</v>
      </c>
      <c r="G19" s="6">
        <v>28</v>
      </c>
      <c r="H19" s="43">
        <f>F19/C19</f>
        <v>1.1417001903093422E-2</v>
      </c>
      <c r="I19" s="6">
        <v>140289</v>
      </c>
      <c r="J19" s="6">
        <v>53702</v>
      </c>
      <c r="K19" s="6">
        <v>86587</v>
      </c>
      <c r="L19" s="6">
        <v>285</v>
      </c>
      <c r="M19" s="6">
        <v>285</v>
      </c>
      <c r="N19" s="6">
        <v>1</v>
      </c>
      <c r="O19" s="39">
        <f>M19/J19</f>
        <v>5.3070649137834719E-3</v>
      </c>
      <c r="P19" s="7">
        <v>6068248</v>
      </c>
      <c r="Q19" s="7">
        <v>2204709</v>
      </c>
      <c r="R19" s="7">
        <v>3863539</v>
      </c>
      <c r="S19" s="7">
        <v>22053</v>
      </c>
      <c r="T19" s="7">
        <v>22053</v>
      </c>
      <c r="U19" s="7">
        <v>29</v>
      </c>
      <c r="V19" s="41">
        <v>1.0002680625878517E-2</v>
      </c>
      <c r="W19" s="7">
        <v>146970</v>
      </c>
      <c r="X19" s="7">
        <v>59967</v>
      </c>
      <c r="Y19" s="7">
        <v>87003</v>
      </c>
      <c r="Z19" s="7">
        <v>296</v>
      </c>
      <c r="AA19" s="7">
        <v>296</v>
      </c>
      <c r="AB19" s="7">
        <v>0</v>
      </c>
      <c r="AC19" s="41">
        <f>AA19/X19</f>
        <v>4.9360481598212354E-3</v>
      </c>
    </row>
    <row r="20" spans="1:29" x14ac:dyDescent="0.2">
      <c r="A20" s="3" t="s">
        <v>3</v>
      </c>
      <c r="B20" s="6">
        <f>SUM(B4:B19)</f>
        <v>94516404</v>
      </c>
      <c r="C20" s="6">
        <f t="shared" ref="C20:F20" si="0">SUM(C4:C19)</f>
        <v>23285909</v>
      </c>
      <c r="D20" s="6">
        <f t="shared" si="0"/>
        <v>82732809</v>
      </c>
      <c r="E20" s="6">
        <f t="shared" si="0"/>
        <v>106922</v>
      </c>
      <c r="F20" s="6">
        <f t="shared" si="0"/>
        <v>106989</v>
      </c>
      <c r="G20" s="6">
        <f>SUM(G4:G19)</f>
        <v>367</v>
      </c>
      <c r="H20" s="44">
        <f>SUM(H4:H19)</f>
        <v>6.5019254686133066E-2</v>
      </c>
      <c r="I20" s="6">
        <f>SUM(I4:I19)</f>
        <v>2248392</v>
      </c>
      <c r="J20" s="6">
        <f t="shared" ref="J20:N20" si="1">SUM(J4:J19)</f>
        <v>629009</v>
      </c>
      <c r="K20" s="6">
        <f t="shared" si="1"/>
        <v>1896349</v>
      </c>
      <c r="L20" s="6">
        <f t="shared" si="1"/>
        <v>1351</v>
      </c>
      <c r="M20" s="6">
        <f t="shared" si="1"/>
        <v>1352</v>
      </c>
      <c r="N20" s="6">
        <f t="shared" si="1"/>
        <v>11</v>
      </c>
      <c r="O20" s="40">
        <f>SUM(O4:O19)</f>
        <v>2.9351286474511244E-2</v>
      </c>
      <c r="P20" s="7">
        <f>SUM(P4:P19)</f>
        <v>97482332</v>
      </c>
      <c r="Q20" s="7">
        <f>SUM(Q4:Q19)</f>
        <v>27987779</v>
      </c>
      <c r="R20" s="7">
        <f>SUM(R4:R19)</f>
        <v>81389860</v>
      </c>
      <c r="S20" s="7">
        <f>SUM(S4:S19)</f>
        <v>106232</v>
      </c>
      <c r="T20" s="7">
        <f>SUM(T4:T19)</f>
        <v>106306</v>
      </c>
      <c r="U20" s="7">
        <f>SUM(U4:U19)</f>
        <v>312</v>
      </c>
      <c r="V20" s="42">
        <f>SUM(V4:V19)</f>
        <v>5.4731811518491699E-2</v>
      </c>
      <c r="W20" s="7">
        <f>SUM(W4:W19)</f>
        <v>2364395</v>
      </c>
      <c r="X20" s="7">
        <f>SUM(X4:X19)</f>
        <v>736342</v>
      </c>
      <c r="Y20" s="7">
        <f>SUM(Y4:Y19)</f>
        <v>1918786</v>
      </c>
      <c r="Z20" s="7">
        <f>SUM(Z4:Z19)</f>
        <v>1454</v>
      </c>
      <c r="AA20" s="7">
        <f>SUM(AA4:AA19)</f>
        <v>1463</v>
      </c>
      <c r="AB20" s="7">
        <f>SUM(AB4:AB19)</f>
        <v>11</v>
      </c>
      <c r="AC20" s="42">
        <f>SUM(AC4:AC19)</f>
        <v>2.8169441350802214E-2</v>
      </c>
    </row>
    <row r="21" spans="1:29" x14ac:dyDescent="0.2">
      <c r="A21" s="3" t="s">
        <v>63</v>
      </c>
      <c r="B21" s="6">
        <f>AVERAGE(B4:B19)</f>
        <v>5907275.25</v>
      </c>
      <c r="C21" s="6">
        <f t="shared" ref="C21:G21" si="2">AVERAGE(C4:C19)</f>
        <v>1455369.3125</v>
      </c>
      <c r="D21" s="6">
        <f t="shared" si="2"/>
        <v>5170800.5625</v>
      </c>
      <c r="E21" s="6">
        <f t="shared" si="2"/>
        <v>6682.625</v>
      </c>
      <c r="F21" s="6">
        <f t="shared" si="2"/>
        <v>6686.8125</v>
      </c>
      <c r="G21" s="6">
        <f t="shared" si="2"/>
        <v>22.9375</v>
      </c>
      <c r="H21" s="44">
        <f>AVERAGE(H4:H19)</f>
        <v>4.0637034178833166E-3</v>
      </c>
      <c r="I21" s="6">
        <f>AVERAGE(I4:I19)</f>
        <v>140524.5</v>
      </c>
      <c r="J21" s="6">
        <f t="shared" ref="J21:N21" si="3">AVERAGE(J4:J19)</f>
        <v>39313.0625</v>
      </c>
      <c r="K21" s="6">
        <f t="shared" si="3"/>
        <v>118521.8125</v>
      </c>
      <c r="L21" s="6">
        <f t="shared" si="3"/>
        <v>84.4375</v>
      </c>
      <c r="M21" s="6">
        <f t="shared" si="3"/>
        <v>84.5</v>
      </c>
      <c r="N21" s="6">
        <f t="shared" si="3"/>
        <v>0.6875</v>
      </c>
      <c r="O21" s="44">
        <f>AVERAGE(O4:O19)</f>
        <v>1.8344554046569527E-3</v>
      </c>
      <c r="P21" s="7">
        <f>AVERAGE(P4:P19)</f>
        <v>6092645.75</v>
      </c>
      <c r="Q21" s="7">
        <f t="shared" ref="Q21:U21" si="4">AVERAGE(Q4:Q19)</f>
        <v>1749236.1875</v>
      </c>
      <c r="R21" s="7">
        <f t="shared" si="4"/>
        <v>5086866.25</v>
      </c>
      <c r="S21" s="7">
        <f t="shared" si="4"/>
        <v>6639.5</v>
      </c>
      <c r="T21" s="7">
        <f t="shared" si="4"/>
        <v>6644.125</v>
      </c>
      <c r="U21" s="7">
        <f t="shared" si="4"/>
        <v>19.5</v>
      </c>
      <c r="V21" s="42">
        <f>AVERAGE(V4:V19)</f>
        <v>3.4207382199057312E-3</v>
      </c>
      <c r="W21" s="7">
        <f>AVERAGE(W4:W19)</f>
        <v>147774.6875</v>
      </c>
      <c r="X21" s="7">
        <f t="shared" ref="X21:AB21" si="5">AVERAGE(X4:X19)</f>
        <v>46021.375</v>
      </c>
      <c r="Y21" s="7">
        <f t="shared" si="5"/>
        <v>119924.125</v>
      </c>
      <c r="Z21" s="7">
        <f t="shared" si="5"/>
        <v>90.875</v>
      </c>
      <c r="AA21" s="7">
        <f t="shared" si="5"/>
        <v>91.4375</v>
      </c>
      <c r="AB21" s="7">
        <f t="shared" si="5"/>
        <v>0.6875</v>
      </c>
      <c r="AC21" s="42">
        <f>AVERAGE(AC4:AC19)</f>
        <v>1.7605900844251383E-3</v>
      </c>
    </row>
    <row r="24" spans="1:29" x14ac:dyDescent="0.2">
      <c r="B24" s="25"/>
      <c r="C24" s="28" t="s">
        <v>57</v>
      </c>
      <c r="D24" s="29"/>
      <c r="E24" s="28" t="s">
        <v>58</v>
      </c>
      <c r="F24" s="29"/>
      <c r="G24" s="28" t="s">
        <v>62</v>
      </c>
      <c r="H24" s="29"/>
    </row>
    <row r="25" spans="1:29" x14ac:dyDescent="0.2">
      <c r="B25" s="26"/>
      <c r="C25" s="26" t="s">
        <v>51</v>
      </c>
      <c r="D25" s="26" t="s">
        <v>52</v>
      </c>
      <c r="E25" s="26" t="s">
        <v>51</v>
      </c>
      <c r="F25" s="26" t="s">
        <v>52</v>
      </c>
      <c r="G25" s="26" t="s">
        <v>51</v>
      </c>
      <c r="H25" s="26" t="s">
        <v>52</v>
      </c>
    </row>
    <row r="26" spans="1:29" x14ac:dyDescent="0.2">
      <c r="B26" s="26" t="s">
        <v>59</v>
      </c>
      <c r="C26" s="27">
        <f>H21</f>
        <v>4.0637034178833166E-3</v>
      </c>
      <c r="D26" s="27">
        <f>O21</f>
        <v>1.8344554046569527E-3</v>
      </c>
      <c r="E26" s="38">
        <f>D21</f>
        <v>5170800.5625</v>
      </c>
      <c r="F26" s="38">
        <f>K21</f>
        <v>118521.8125</v>
      </c>
      <c r="G26" s="38">
        <f>G21</f>
        <v>22.9375</v>
      </c>
      <c r="H26" s="38">
        <f>N21</f>
        <v>0.6875</v>
      </c>
    </row>
    <row r="27" spans="1:29" x14ac:dyDescent="0.2">
      <c r="B27" s="26" t="s">
        <v>60</v>
      </c>
      <c r="C27" s="27">
        <f>V21</f>
        <v>3.4207382199057312E-3</v>
      </c>
      <c r="D27" s="27">
        <f>AC21</f>
        <v>1.7605900844251383E-3</v>
      </c>
      <c r="E27" s="38">
        <f>R21</f>
        <v>5086866.25</v>
      </c>
      <c r="F27" s="38">
        <f>Y21</f>
        <v>119924.125</v>
      </c>
      <c r="G27" s="38">
        <f>U21</f>
        <v>19.5</v>
      </c>
      <c r="H27" s="38">
        <f>AB21</f>
        <v>0.6875</v>
      </c>
    </row>
  </sheetData>
  <mergeCells count="7">
    <mergeCell ref="W2:AC2"/>
    <mergeCell ref="G24:H24"/>
    <mergeCell ref="C24:D24"/>
    <mergeCell ref="E24:F24"/>
    <mergeCell ref="B2:H2"/>
    <mergeCell ref="I2:O2"/>
    <mergeCell ref="P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DB6A-AA36-404F-BFA6-22EFFA18E2A5}">
  <dimension ref="A1:AF23"/>
  <sheetViews>
    <sheetView workbookViewId="0">
      <selection activeCell="N5" sqref="N5:N23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56</v>
      </c>
    </row>
    <row r="3" spans="1:32" x14ac:dyDescent="0.2">
      <c r="A3" t="s">
        <v>39</v>
      </c>
      <c r="B3" t="s">
        <v>38</v>
      </c>
      <c r="C3" t="s">
        <v>37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6013318</v>
      </c>
      <c r="F5">
        <v>156792</v>
      </c>
      <c r="G5">
        <v>1203117</v>
      </c>
      <c r="H5">
        <v>1203117</v>
      </c>
      <c r="I5">
        <v>4810201</v>
      </c>
      <c r="J5">
        <v>0</v>
      </c>
      <c r="K5">
        <v>680</v>
      </c>
      <c r="L5">
        <v>680</v>
      </c>
      <c r="M5">
        <v>3</v>
      </c>
      <c r="N5">
        <v>9</v>
      </c>
      <c r="O5">
        <v>34</v>
      </c>
      <c r="P5">
        <v>215</v>
      </c>
      <c r="Q5">
        <v>387</v>
      </c>
      <c r="R5">
        <v>30</v>
      </c>
      <c r="S5">
        <v>2</v>
      </c>
      <c r="T5">
        <v>0</v>
      </c>
      <c r="U5">
        <v>0</v>
      </c>
      <c r="V5">
        <v>15080</v>
      </c>
      <c r="W5">
        <v>13151</v>
      </c>
      <c r="X5">
        <v>13470</v>
      </c>
      <c r="Y5">
        <v>848642</v>
      </c>
      <c r="Z5">
        <v>43738</v>
      </c>
      <c r="AA5">
        <v>41382</v>
      </c>
      <c r="AB5">
        <v>42020</v>
      </c>
      <c r="AC5">
        <v>131024</v>
      </c>
      <c r="AD5">
        <v>53908</v>
      </c>
      <c r="AE5">
        <v>24665</v>
      </c>
      <c r="AF5">
        <v>58758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6236180</v>
      </c>
      <c r="F6">
        <v>147337</v>
      </c>
      <c r="G6">
        <v>2217986</v>
      </c>
      <c r="H6">
        <v>2217986</v>
      </c>
      <c r="I6">
        <v>4018194</v>
      </c>
      <c r="J6">
        <v>0</v>
      </c>
      <c r="K6">
        <v>16362</v>
      </c>
      <c r="L6">
        <v>16362</v>
      </c>
      <c r="M6">
        <v>1</v>
      </c>
      <c r="N6">
        <v>19</v>
      </c>
      <c r="O6">
        <v>4969</v>
      </c>
      <c r="P6">
        <v>4027</v>
      </c>
      <c r="Q6">
        <v>4779</v>
      </c>
      <c r="R6">
        <v>2565</v>
      </c>
      <c r="S6">
        <v>2</v>
      </c>
      <c r="T6">
        <v>0</v>
      </c>
      <c r="U6">
        <v>0</v>
      </c>
      <c r="V6">
        <v>95561</v>
      </c>
      <c r="W6">
        <v>64504</v>
      </c>
      <c r="X6">
        <v>73101</v>
      </c>
      <c r="Y6">
        <v>748012</v>
      </c>
      <c r="Z6">
        <v>145817</v>
      </c>
      <c r="AA6">
        <v>224569</v>
      </c>
      <c r="AB6">
        <v>241763</v>
      </c>
      <c r="AC6">
        <v>426191</v>
      </c>
      <c r="AD6">
        <v>277621</v>
      </c>
      <c r="AE6">
        <v>134498</v>
      </c>
      <c r="AF6">
        <v>236317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6053829</v>
      </c>
      <c r="F7">
        <v>143708</v>
      </c>
      <c r="G7">
        <v>1544634</v>
      </c>
      <c r="H7">
        <v>1544634</v>
      </c>
      <c r="I7">
        <v>4509195</v>
      </c>
      <c r="J7">
        <v>0</v>
      </c>
      <c r="K7">
        <v>17958</v>
      </c>
      <c r="L7">
        <v>17958</v>
      </c>
      <c r="M7">
        <v>3</v>
      </c>
      <c r="N7">
        <v>47</v>
      </c>
      <c r="O7">
        <v>1989</v>
      </c>
      <c r="P7">
        <v>5124</v>
      </c>
      <c r="Q7">
        <v>9803</v>
      </c>
      <c r="R7">
        <v>992</v>
      </c>
      <c r="S7">
        <v>0</v>
      </c>
      <c r="T7">
        <v>0</v>
      </c>
      <c r="U7">
        <v>0</v>
      </c>
      <c r="V7">
        <v>27620</v>
      </c>
      <c r="W7">
        <v>17857</v>
      </c>
      <c r="X7">
        <v>20395</v>
      </c>
      <c r="Y7">
        <v>736678</v>
      </c>
      <c r="Z7">
        <v>164319</v>
      </c>
      <c r="AA7">
        <v>63334</v>
      </c>
      <c r="AB7">
        <v>68410</v>
      </c>
      <c r="AC7">
        <v>235754</v>
      </c>
      <c r="AD7">
        <v>157161</v>
      </c>
      <c r="AE7">
        <v>60874</v>
      </c>
      <c r="AF7">
        <v>106017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6655477</v>
      </c>
      <c r="F8">
        <v>71198</v>
      </c>
      <c r="G8">
        <v>6752905</v>
      </c>
      <c r="H8">
        <v>6397297</v>
      </c>
      <c r="I8">
        <v>12848791</v>
      </c>
      <c r="J8">
        <v>364735</v>
      </c>
      <c r="K8">
        <v>395402</v>
      </c>
      <c r="L8">
        <v>397394</v>
      </c>
      <c r="M8">
        <v>45</v>
      </c>
      <c r="N8">
        <v>124035</v>
      </c>
      <c r="O8">
        <v>50267</v>
      </c>
      <c r="P8">
        <v>58640</v>
      </c>
      <c r="Q8">
        <v>60812</v>
      </c>
      <c r="R8">
        <v>36996</v>
      </c>
      <c r="S8">
        <v>23</v>
      </c>
      <c r="T8">
        <v>66576</v>
      </c>
      <c r="U8">
        <v>355608</v>
      </c>
      <c r="V8">
        <v>293092</v>
      </c>
      <c r="W8">
        <v>163059</v>
      </c>
      <c r="X8">
        <v>184394</v>
      </c>
      <c r="Y8">
        <v>2164650</v>
      </c>
      <c r="Z8">
        <v>383786</v>
      </c>
      <c r="AA8">
        <v>619210</v>
      </c>
      <c r="AB8">
        <v>661880</v>
      </c>
      <c r="AC8">
        <v>1015333</v>
      </c>
      <c r="AD8">
        <v>736085</v>
      </c>
      <c r="AE8">
        <v>427694</v>
      </c>
      <c r="AF8">
        <v>631800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6099655</v>
      </c>
      <c r="F9">
        <v>140558</v>
      </c>
      <c r="G9">
        <v>1989198</v>
      </c>
      <c r="H9">
        <v>1989198</v>
      </c>
      <c r="I9">
        <v>4110457</v>
      </c>
      <c r="J9">
        <v>0</v>
      </c>
      <c r="K9">
        <v>14794</v>
      </c>
      <c r="L9">
        <v>14794</v>
      </c>
      <c r="M9">
        <v>1</v>
      </c>
      <c r="N9">
        <v>25</v>
      </c>
      <c r="O9">
        <v>3311</v>
      </c>
      <c r="P9">
        <v>3863</v>
      </c>
      <c r="Q9">
        <v>5225</v>
      </c>
      <c r="R9">
        <v>2369</v>
      </c>
      <c r="S9">
        <v>0</v>
      </c>
      <c r="T9">
        <v>0</v>
      </c>
      <c r="U9">
        <v>0</v>
      </c>
      <c r="V9">
        <v>67678</v>
      </c>
      <c r="W9">
        <v>36000</v>
      </c>
      <c r="X9">
        <v>49585</v>
      </c>
      <c r="Y9">
        <v>783641</v>
      </c>
      <c r="Z9">
        <v>161065</v>
      </c>
      <c r="AA9">
        <v>139678</v>
      </c>
      <c r="AB9">
        <v>166848</v>
      </c>
      <c r="AC9">
        <v>318709</v>
      </c>
      <c r="AD9">
        <v>250011</v>
      </c>
      <c r="AE9">
        <v>118949</v>
      </c>
      <c r="AF9">
        <v>188766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6082700</v>
      </c>
      <c r="F10">
        <v>140207</v>
      </c>
      <c r="G10">
        <v>775774</v>
      </c>
      <c r="H10">
        <v>775774</v>
      </c>
      <c r="I10">
        <v>5306926</v>
      </c>
      <c r="J10">
        <v>0</v>
      </c>
      <c r="K10">
        <v>226</v>
      </c>
      <c r="L10">
        <v>226</v>
      </c>
      <c r="M10">
        <v>0</v>
      </c>
      <c r="N10">
        <v>1</v>
      </c>
      <c r="O10">
        <v>1</v>
      </c>
      <c r="P10">
        <v>87</v>
      </c>
      <c r="Q10">
        <v>136</v>
      </c>
      <c r="R10">
        <v>1</v>
      </c>
      <c r="S10">
        <v>0</v>
      </c>
      <c r="T10">
        <v>0</v>
      </c>
      <c r="U10">
        <v>0</v>
      </c>
      <c r="V10">
        <v>1224</v>
      </c>
      <c r="W10">
        <v>1082</v>
      </c>
      <c r="X10">
        <v>971</v>
      </c>
      <c r="Y10">
        <v>723049</v>
      </c>
      <c r="Z10">
        <v>8884</v>
      </c>
      <c r="AA10">
        <v>3388</v>
      </c>
      <c r="AB10">
        <v>3166</v>
      </c>
      <c r="AC10">
        <v>21742</v>
      </c>
      <c r="AD10">
        <v>6441</v>
      </c>
      <c r="AE10">
        <v>2695</v>
      </c>
      <c r="AF10">
        <v>9460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6070289</v>
      </c>
      <c r="F11">
        <v>127360</v>
      </c>
      <c r="G11">
        <v>816285</v>
      </c>
      <c r="H11">
        <v>816285</v>
      </c>
      <c r="I11">
        <v>5254004</v>
      </c>
      <c r="J11">
        <v>0</v>
      </c>
      <c r="K11">
        <v>204</v>
      </c>
      <c r="L11">
        <v>204</v>
      </c>
      <c r="M11">
        <v>0</v>
      </c>
      <c r="N11">
        <v>3</v>
      </c>
      <c r="O11">
        <v>4</v>
      </c>
      <c r="P11">
        <v>95</v>
      </c>
      <c r="Q11">
        <v>99</v>
      </c>
      <c r="R11">
        <v>1</v>
      </c>
      <c r="S11">
        <v>2</v>
      </c>
      <c r="T11">
        <v>0</v>
      </c>
      <c r="U11">
        <v>0</v>
      </c>
      <c r="V11">
        <v>2020</v>
      </c>
      <c r="W11">
        <v>1589</v>
      </c>
      <c r="X11">
        <v>1335</v>
      </c>
      <c r="Y11">
        <v>756404</v>
      </c>
      <c r="Z11">
        <v>9036</v>
      </c>
      <c r="AA11">
        <v>5198</v>
      </c>
      <c r="AB11">
        <v>4690</v>
      </c>
      <c r="AC11">
        <v>23325</v>
      </c>
      <c r="AD11">
        <v>9243</v>
      </c>
      <c r="AE11">
        <v>3599</v>
      </c>
      <c r="AF11">
        <v>9530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6045342</v>
      </c>
      <c r="F12">
        <v>153314</v>
      </c>
      <c r="G12">
        <v>2075637</v>
      </c>
      <c r="H12">
        <v>2075637</v>
      </c>
      <c r="I12">
        <v>3969705</v>
      </c>
      <c r="J12">
        <v>0</v>
      </c>
      <c r="K12">
        <v>264</v>
      </c>
      <c r="L12">
        <v>264</v>
      </c>
      <c r="M12">
        <v>1</v>
      </c>
      <c r="N12">
        <v>22</v>
      </c>
      <c r="O12">
        <v>49</v>
      </c>
      <c r="P12">
        <v>76</v>
      </c>
      <c r="Q12">
        <v>86</v>
      </c>
      <c r="R12">
        <v>29</v>
      </c>
      <c r="S12">
        <v>1</v>
      </c>
      <c r="T12">
        <v>0</v>
      </c>
      <c r="U12">
        <v>0</v>
      </c>
      <c r="V12">
        <v>96573</v>
      </c>
      <c r="W12">
        <v>47183</v>
      </c>
      <c r="X12">
        <v>64124</v>
      </c>
      <c r="Y12">
        <v>762081</v>
      </c>
      <c r="Z12">
        <v>166252</v>
      </c>
      <c r="AA12">
        <v>190939</v>
      </c>
      <c r="AB12">
        <v>224821</v>
      </c>
      <c r="AC12">
        <v>304417</v>
      </c>
      <c r="AD12">
        <v>274515</v>
      </c>
      <c r="AE12">
        <v>144029</v>
      </c>
      <c r="AF12">
        <v>216196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6244542</v>
      </c>
      <c r="F13">
        <v>158043</v>
      </c>
      <c r="G13">
        <v>2048396</v>
      </c>
      <c r="H13">
        <v>2048396</v>
      </c>
      <c r="I13">
        <v>4196146</v>
      </c>
      <c r="J13">
        <v>0</v>
      </c>
      <c r="K13">
        <v>19462</v>
      </c>
      <c r="L13">
        <v>19462</v>
      </c>
      <c r="M13">
        <v>0</v>
      </c>
      <c r="N13">
        <v>32</v>
      </c>
      <c r="O13">
        <v>3745</v>
      </c>
      <c r="P13">
        <v>6601</v>
      </c>
      <c r="Q13">
        <v>7155</v>
      </c>
      <c r="R13">
        <v>1929</v>
      </c>
      <c r="S13">
        <v>0</v>
      </c>
      <c r="T13">
        <v>0</v>
      </c>
      <c r="U13">
        <v>0</v>
      </c>
      <c r="V13">
        <v>69551</v>
      </c>
      <c r="W13">
        <v>43380</v>
      </c>
      <c r="X13">
        <v>49852</v>
      </c>
      <c r="Y13">
        <v>725491</v>
      </c>
      <c r="Z13">
        <v>192600</v>
      </c>
      <c r="AA13">
        <v>156311</v>
      </c>
      <c r="AB13">
        <v>169255</v>
      </c>
      <c r="AC13">
        <v>372083</v>
      </c>
      <c r="AD13">
        <v>247679</v>
      </c>
      <c r="AE13">
        <v>119836</v>
      </c>
      <c r="AF13">
        <v>208462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4696741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6037392</v>
      </c>
      <c r="F15">
        <v>151685</v>
      </c>
      <c r="G15">
        <v>2166144</v>
      </c>
      <c r="H15">
        <v>2166144</v>
      </c>
      <c r="I15">
        <v>3871248</v>
      </c>
      <c r="J15">
        <v>0</v>
      </c>
      <c r="K15">
        <v>10318</v>
      </c>
      <c r="L15">
        <v>10318</v>
      </c>
      <c r="M15">
        <v>3</v>
      </c>
      <c r="N15">
        <v>22</v>
      </c>
      <c r="O15">
        <v>2323</v>
      </c>
      <c r="P15">
        <v>2956</v>
      </c>
      <c r="Q15">
        <v>3371</v>
      </c>
      <c r="R15">
        <v>1642</v>
      </c>
      <c r="S15">
        <v>0</v>
      </c>
      <c r="T15">
        <v>1</v>
      </c>
      <c r="U15">
        <v>0</v>
      </c>
      <c r="V15">
        <v>108385</v>
      </c>
      <c r="W15">
        <v>55101</v>
      </c>
      <c r="X15">
        <v>70227</v>
      </c>
      <c r="Y15">
        <v>765758</v>
      </c>
      <c r="Z15">
        <v>161792</v>
      </c>
      <c r="AA15">
        <v>218587</v>
      </c>
      <c r="AB15">
        <v>248839</v>
      </c>
      <c r="AC15">
        <v>320705</v>
      </c>
      <c r="AD15">
        <v>285475</v>
      </c>
      <c r="AE15">
        <v>158703</v>
      </c>
      <c r="AF15">
        <v>229674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6052783</v>
      </c>
      <c r="F16">
        <v>146158</v>
      </c>
      <c r="G16">
        <v>1830432</v>
      </c>
      <c r="H16">
        <v>1830432</v>
      </c>
      <c r="I16">
        <v>4222351</v>
      </c>
      <c r="J16">
        <v>0</v>
      </c>
      <c r="K16">
        <v>753</v>
      </c>
      <c r="L16">
        <v>753</v>
      </c>
      <c r="M16">
        <v>1</v>
      </c>
      <c r="N16">
        <v>23</v>
      </c>
      <c r="O16">
        <v>169</v>
      </c>
      <c r="P16">
        <v>173</v>
      </c>
      <c r="Q16">
        <v>292</v>
      </c>
      <c r="R16">
        <v>92</v>
      </c>
      <c r="S16">
        <v>3</v>
      </c>
      <c r="T16">
        <v>0</v>
      </c>
      <c r="U16">
        <v>0</v>
      </c>
      <c r="V16">
        <v>45471</v>
      </c>
      <c r="W16">
        <v>52456</v>
      </c>
      <c r="X16">
        <v>48274</v>
      </c>
      <c r="Y16">
        <v>767307</v>
      </c>
      <c r="Z16">
        <v>92632</v>
      </c>
      <c r="AA16">
        <v>150383</v>
      </c>
      <c r="AB16">
        <v>142019</v>
      </c>
      <c r="AC16">
        <v>416783</v>
      </c>
      <c r="AD16">
        <v>150037</v>
      </c>
      <c r="AE16">
        <v>73329</v>
      </c>
      <c r="AF16">
        <v>183390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6028885</v>
      </c>
      <c r="F17">
        <v>147148</v>
      </c>
      <c r="G17">
        <v>684620</v>
      </c>
      <c r="H17">
        <v>684620</v>
      </c>
      <c r="I17">
        <v>5344265</v>
      </c>
      <c r="J17">
        <v>0</v>
      </c>
      <c r="K17">
        <v>178</v>
      </c>
      <c r="L17">
        <v>178</v>
      </c>
      <c r="M17">
        <v>0</v>
      </c>
      <c r="N17">
        <v>3</v>
      </c>
      <c r="O17">
        <v>1</v>
      </c>
      <c r="P17">
        <v>61</v>
      </c>
      <c r="Q17">
        <v>112</v>
      </c>
      <c r="R17">
        <v>1</v>
      </c>
      <c r="S17">
        <v>0</v>
      </c>
      <c r="T17">
        <v>0</v>
      </c>
      <c r="U17">
        <v>0</v>
      </c>
      <c r="V17">
        <v>607</v>
      </c>
      <c r="W17">
        <v>513</v>
      </c>
      <c r="X17">
        <v>439</v>
      </c>
      <c r="Y17">
        <v>656080</v>
      </c>
      <c r="Z17">
        <v>5179</v>
      </c>
      <c r="AA17">
        <v>1633</v>
      </c>
      <c r="AB17">
        <v>1485</v>
      </c>
      <c r="AC17">
        <v>12108</v>
      </c>
      <c r="AD17">
        <v>3435</v>
      </c>
      <c r="AE17">
        <v>1286</v>
      </c>
      <c r="AF17">
        <v>4793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6154947</v>
      </c>
      <c r="F18">
        <v>101687</v>
      </c>
      <c r="G18">
        <v>1279252</v>
      </c>
      <c r="H18">
        <v>1278237</v>
      </c>
      <c r="I18">
        <v>10805001</v>
      </c>
      <c r="J18">
        <v>225641</v>
      </c>
      <c r="K18">
        <v>2053</v>
      </c>
      <c r="L18">
        <v>2066</v>
      </c>
      <c r="M18">
        <v>1</v>
      </c>
      <c r="N18">
        <v>2</v>
      </c>
      <c r="O18">
        <v>11</v>
      </c>
      <c r="P18">
        <v>992</v>
      </c>
      <c r="Q18">
        <v>1050</v>
      </c>
      <c r="R18">
        <v>8</v>
      </c>
      <c r="S18">
        <v>2</v>
      </c>
      <c r="T18">
        <v>0</v>
      </c>
      <c r="U18">
        <v>1015</v>
      </c>
      <c r="V18">
        <v>707</v>
      </c>
      <c r="W18">
        <v>774</v>
      </c>
      <c r="X18">
        <v>660</v>
      </c>
      <c r="Y18">
        <v>1246731</v>
      </c>
      <c r="Z18">
        <v>3392</v>
      </c>
      <c r="AA18">
        <v>2255</v>
      </c>
      <c r="AB18">
        <v>2027</v>
      </c>
      <c r="AC18">
        <v>12870</v>
      </c>
      <c r="AD18">
        <v>2815</v>
      </c>
      <c r="AE18">
        <v>1496</v>
      </c>
      <c r="AF18">
        <v>6726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6101714</v>
      </c>
      <c r="F19">
        <v>185835</v>
      </c>
      <c r="G19">
        <v>617921</v>
      </c>
      <c r="H19">
        <v>617921</v>
      </c>
      <c r="I19">
        <v>5483793</v>
      </c>
      <c r="J19">
        <v>0</v>
      </c>
      <c r="K19">
        <v>163</v>
      </c>
      <c r="L19">
        <v>163</v>
      </c>
      <c r="M19">
        <v>2</v>
      </c>
      <c r="N19">
        <v>0</v>
      </c>
      <c r="O19">
        <v>3</v>
      </c>
      <c r="P19">
        <v>82</v>
      </c>
      <c r="Q19">
        <v>71</v>
      </c>
      <c r="R19">
        <v>0</v>
      </c>
      <c r="S19">
        <v>5</v>
      </c>
      <c r="T19">
        <v>0</v>
      </c>
      <c r="U19">
        <v>0</v>
      </c>
      <c r="V19">
        <v>381</v>
      </c>
      <c r="W19">
        <v>890</v>
      </c>
      <c r="X19">
        <v>360</v>
      </c>
      <c r="Y19">
        <v>590148</v>
      </c>
      <c r="Z19">
        <v>2152</v>
      </c>
      <c r="AA19">
        <v>2161</v>
      </c>
      <c r="AB19">
        <v>1101</v>
      </c>
      <c r="AC19">
        <v>16643</v>
      </c>
      <c r="AD19">
        <v>1692</v>
      </c>
      <c r="AE19">
        <v>717</v>
      </c>
      <c r="AF19">
        <v>4775</v>
      </c>
    </row>
    <row r="20" spans="1:32" x14ac:dyDescent="0.2">
      <c r="A20" t="s">
        <v>8</v>
      </c>
      <c r="B20" t="s">
        <v>7</v>
      </c>
      <c r="C20" t="s">
        <v>6</v>
      </c>
      <c r="D20">
        <v>8718</v>
      </c>
      <c r="E20">
        <v>6142583</v>
      </c>
      <c r="F20">
        <v>85067</v>
      </c>
      <c r="G20">
        <v>4351014</v>
      </c>
      <c r="H20">
        <v>4349729</v>
      </c>
      <c r="I20">
        <v>7757570</v>
      </c>
      <c r="J20">
        <v>176582</v>
      </c>
      <c r="K20">
        <v>540</v>
      </c>
      <c r="L20">
        <v>601</v>
      </c>
      <c r="M20">
        <v>4</v>
      </c>
      <c r="N20">
        <v>47</v>
      </c>
      <c r="O20">
        <v>101</v>
      </c>
      <c r="P20">
        <v>118</v>
      </c>
      <c r="Q20">
        <v>268</v>
      </c>
      <c r="R20">
        <v>60</v>
      </c>
      <c r="S20">
        <v>3</v>
      </c>
      <c r="T20">
        <v>0</v>
      </c>
      <c r="U20">
        <v>1285</v>
      </c>
      <c r="V20">
        <v>206914</v>
      </c>
      <c r="W20">
        <v>98734</v>
      </c>
      <c r="X20">
        <v>140703</v>
      </c>
      <c r="Y20">
        <v>1548930</v>
      </c>
      <c r="Z20">
        <v>361188</v>
      </c>
      <c r="AA20">
        <v>404382</v>
      </c>
      <c r="AB20">
        <v>488320</v>
      </c>
      <c r="AC20">
        <v>613900</v>
      </c>
      <c r="AD20">
        <v>601845</v>
      </c>
      <c r="AE20">
        <v>318781</v>
      </c>
      <c r="AF20">
        <v>458131</v>
      </c>
    </row>
    <row r="21" spans="1:32" x14ac:dyDescent="0.2">
      <c r="A21" t="s">
        <v>8</v>
      </c>
      <c r="B21" t="s">
        <v>7</v>
      </c>
      <c r="C21" t="s">
        <v>6</v>
      </c>
      <c r="D21">
        <v>9009</v>
      </c>
      <c r="E21">
        <v>6049925</v>
      </c>
      <c r="F21">
        <v>147285</v>
      </c>
      <c r="G21">
        <v>2182660</v>
      </c>
      <c r="H21">
        <v>2182660</v>
      </c>
      <c r="I21">
        <v>3867265</v>
      </c>
      <c r="J21">
        <v>0</v>
      </c>
      <c r="K21">
        <v>224</v>
      </c>
      <c r="L21">
        <v>224</v>
      </c>
      <c r="M21">
        <v>0</v>
      </c>
      <c r="N21">
        <v>28</v>
      </c>
      <c r="O21">
        <v>35</v>
      </c>
      <c r="P21">
        <v>64</v>
      </c>
      <c r="Q21">
        <v>76</v>
      </c>
      <c r="R21">
        <v>20</v>
      </c>
      <c r="S21">
        <v>0</v>
      </c>
      <c r="T21">
        <v>1</v>
      </c>
      <c r="U21">
        <v>0</v>
      </c>
      <c r="V21">
        <v>120192</v>
      </c>
      <c r="W21">
        <v>55061</v>
      </c>
      <c r="X21">
        <v>76477</v>
      </c>
      <c r="Y21">
        <v>770754</v>
      </c>
      <c r="Z21">
        <v>157432</v>
      </c>
      <c r="AA21">
        <v>230314</v>
      </c>
      <c r="AB21">
        <v>273146</v>
      </c>
      <c r="AC21">
        <v>298856</v>
      </c>
      <c r="AD21">
        <v>294122</v>
      </c>
      <c r="AE21">
        <v>170146</v>
      </c>
      <c r="AF21">
        <v>239390</v>
      </c>
    </row>
    <row r="22" spans="1:32" x14ac:dyDescent="0.2">
      <c r="A22" t="s">
        <v>8</v>
      </c>
      <c r="B22" t="s">
        <v>7</v>
      </c>
      <c r="C22" t="s">
        <v>6</v>
      </c>
      <c r="D22">
        <v>9885</v>
      </c>
      <c r="E22">
        <v>6068248</v>
      </c>
      <c r="F22">
        <v>149526</v>
      </c>
      <c r="G22">
        <v>2204709</v>
      </c>
      <c r="H22">
        <v>2204709</v>
      </c>
      <c r="I22">
        <v>3863539</v>
      </c>
      <c r="J22">
        <v>0</v>
      </c>
      <c r="K22">
        <v>22053</v>
      </c>
      <c r="L22">
        <v>22053</v>
      </c>
      <c r="M22">
        <v>1</v>
      </c>
      <c r="N22">
        <v>29</v>
      </c>
      <c r="O22">
        <v>5228</v>
      </c>
      <c r="P22">
        <v>6007</v>
      </c>
      <c r="Q22">
        <v>7664</v>
      </c>
      <c r="R22">
        <v>3120</v>
      </c>
      <c r="S22">
        <v>4</v>
      </c>
      <c r="T22">
        <v>0</v>
      </c>
      <c r="U22">
        <v>0</v>
      </c>
      <c r="V22">
        <v>86800</v>
      </c>
      <c r="W22">
        <v>63217</v>
      </c>
      <c r="X22">
        <v>63404</v>
      </c>
      <c r="Y22">
        <v>773961</v>
      </c>
      <c r="Z22">
        <v>149728</v>
      </c>
      <c r="AA22">
        <v>213234</v>
      </c>
      <c r="AB22">
        <v>213608</v>
      </c>
      <c r="AC22">
        <v>438059</v>
      </c>
      <c r="AD22">
        <v>271281</v>
      </c>
      <c r="AE22">
        <v>125697</v>
      </c>
      <c r="AF22">
        <v>210507</v>
      </c>
    </row>
    <row r="23" spans="1:32" x14ac:dyDescent="0.2">
      <c r="A23" t="s">
        <v>8</v>
      </c>
      <c r="B23" t="s">
        <v>7</v>
      </c>
      <c r="C23" t="s">
        <v>6</v>
      </c>
      <c r="D23" t="s">
        <v>5</v>
      </c>
      <c r="E23">
        <v>14067828</v>
      </c>
      <c r="F23">
        <v>3492</v>
      </c>
      <c r="G23">
        <v>109156863</v>
      </c>
      <c r="H23">
        <v>33963455</v>
      </c>
      <c r="I23">
        <v>179165342</v>
      </c>
      <c r="J23">
        <v>7102183</v>
      </c>
      <c r="K23">
        <v>469378</v>
      </c>
      <c r="L23">
        <v>498963</v>
      </c>
      <c r="M23">
        <v>66</v>
      </c>
      <c r="N23">
        <v>122603</v>
      </c>
      <c r="O23">
        <v>71636</v>
      </c>
      <c r="P23">
        <v>88623</v>
      </c>
      <c r="Q23">
        <v>100572</v>
      </c>
      <c r="R23">
        <v>49376</v>
      </c>
      <c r="S23">
        <v>47</v>
      </c>
      <c r="T23">
        <v>66036</v>
      </c>
      <c r="U23">
        <v>75193408</v>
      </c>
      <c r="V23">
        <v>1209375</v>
      </c>
      <c r="W23">
        <v>700123</v>
      </c>
      <c r="X23">
        <v>846599</v>
      </c>
      <c r="Y23">
        <v>15244661</v>
      </c>
      <c r="Z23">
        <v>2183701</v>
      </c>
      <c r="AA23">
        <v>2609621</v>
      </c>
      <c r="AB23">
        <v>2902573</v>
      </c>
      <c r="AC23">
        <v>4890854</v>
      </c>
      <c r="AD23">
        <v>3556503</v>
      </c>
      <c r="AE23">
        <v>1860497</v>
      </c>
      <c r="AF23">
        <v>2972024</v>
      </c>
    </row>
  </sheetData>
  <autoFilter ref="A1:A23" xr:uid="{6BD5874F-0C83-4543-A7B1-28A011D3DE9B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07A0-382B-3148-94F9-32B2213FAC10}">
  <dimension ref="A1:AF23"/>
  <sheetViews>
    <sheetView topLeftCell="D1" workbookViewId="0">
      <selection activeCell="N5" sqref="N5:N23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56</v>
      </c>
    </row>
    <row r="3" spans="1:32" x14ac:dyDescent="0.2">
      <c r="A3" t="s">
        <v>39</v>
      </c>
      <c r="B3" t="s">
        <v>38</v>
      </c>
      <c r="C3" t="s">
        <v>37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145710</v>
      </c>
      <c r="F5">
        <v>1937</v>
      </c>
      <c r="G5">
        <v>28579</v>
      </c>
      <c r="H5">
        <v>28579</v>
      </c>
      <c r="I5">
        <v>117131</v>
      </c>
      <c r="J5">
        <v>0</v>
      </c>
      <c r="K5">
        <v>26</v>
      </c>
      <c r="L5">
        <v>26</v>
      </c>
      <c r="M5">
        <v>0</v>
      </c>
      <c r="N5">
        <v>0</v>
      </c>
      <c r="O5">
        <v>0</v>
      </c>
      <c r="P5">
        <v>11</v>
      </c>
      <c r="Q5">
        <v>15</v>
      </c>
      <c r="R5">
        <v>0</v>
      </c>
      <c r="S5">
        <v>0</v>
      </c>
      <c r="T5">
        <v>0</v>
      </c>
      <c r="U5">
        <v>0</v>
      </c>
      <c r="V5">
        <v>297</v>
      </c>
      <c r="W5">
        <v>258</v>
      </c>
      <c r="X5">
        <v>248</v>
      </c>
      <c r="Y5">
        <v>20936</v>
      </c>
      <c r="Z5">
        <v>968</v>
      </c>
      <c r="AA5">
        <v>813</v>
      </c>
      <c r="AB5">
        <v>793</v>
      </c>
      <c r="AC5">
        <v>2919</v>
      </c>
      <c r="AD5">
        <v>1173</v>
      </c>
      <c r="AE5">
        <v>467</v>
      </c>
      <c r="AF5">
        <v>1287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151585</v>
      </c>
      <c r="F6">
        <v>1748</v>
      </c>
      <c r="G6">
        <v>58704</v>
      </c>
      <c r="H6">
        <v>58704</v>
      </c>
      <c r="I6">
        <v>92881</v>
      </c>
      <c r="J6">
        <v>0</v>
      </c>
      <c r="K6">
        <v>245</v>
      </c>
      <c r="L6">
        <v>245</v>
      </c>
      <c r="M6">
        <v>0</v>
      </c>
      <c r="N6">
        <v>1</v>
      </c>
      <c r="O6">
        <v>76</v>
      </c>
      <c r="P6">
        <v>67</v>
      </c>
      <c r="Q6">
        <v>65</v>
      </c>
      <c r="R6">
        <v>36</v>
      </c>
      <c r="S6">
        <v>0</v>
      </c>
      <c r="T6">
        <v>0</v>
      </c>
      <c r="U6">
        <v>0</v>
      </c>
      <c r="V6">
        <v>2701</v>
      </c>
      <c r="W6">
        <v>1601</v>
      </c>
      <c r="X6">
        <v>1880</v>
      </c>
      <c r="Y6">
        <v>19116</v>
      </c>
      <c r="Z6">
        <v>3851</v>
      </c>
      <c r="AA6">
        <v>5903</v>
      </c>
      <c r="AB6">
        <v>6461</v>
      </c>
      <c r="AC6">
        <v>11584</v>
      </c>
      <c r="AD6">
        <v>8025</v>
      </c>
      <c r="AE6">
        <v>3663</v>
      </c>
      <c r="AF6">
        <v>6038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146682</v>
      </c>
      <c r="F7">
        <v>1549</v>
      </c>
      <c r="G7">
        <v>43477</v>
      </c>
      <c r="H7">
        <v>43477</v>
      </c>
      <c r="I7">
        <v>103205</v>
      </c>
      <c r="J7">
        <v>0</v>
      </c>
      <c r="K7">
        <v>244</v>
      </c>
      <c r="L7">
        <v>244</v>
      </c>
      <c r="M7">
        <v>0</v>
      </c>
      <c r="N7">
        <v>0</v>
      </c>
      <c r="O7">
        <v>41</v>
      </c>
      <c r="P7">
        <v>56</v>
      </c>
      <c r="Q7">
        <v>131</v>
      </c>
      <c r="R7">
        <v>16</v>
      </c>
      <c r="S7">
        <v>0</v>
      </c>
      <c r="T7">
        <v>0</v>
      </c>
      <c r="U7">
        <v>0</v>
      </c>
      <c r="V7">
        <v>879</v>
      </c>
      <c r="W7">
        <v>613</v>
      </c>
      <c r="X7">
        <v>750</v>
      </c>
      <c r="Y7">
        <v>18920</v>
      </c>
      <c r="Z7">
        <v>4518</v>
      </c>
      <c r="AA7">
        <v>2105</v>
      </c>
      <c r="AB7">
        <v>2379</v>
      </c>
      <c r="AC7">
        <v>7416</v>
      </c>
      <c r="AD7">
        <v>4965</v>
      </c>
      <c r="AE7">
        <v>1864</v>
      </c>
      <c r="AF7">
        <v>3308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160301</v>
      </c>
      <c r="F8">
        <v>596</v>
      </c>
      <c r="G8">
        <v>178809</v>
      </c>
      <c r="H8">
        <v>169851</v>
      </c>
      <c r="I8">
        <v>297832</v>
      </c>
      <c r="J8">
        <v>4262</v>
      </c>
      <c r="K8">
        <v>10465</v>
      </c>
      <c r="L8">
        <v>10500</v>
      </c>
      <c r="M8">
        <v>4</v>
      </c>
      <c r="N8">
        <v>3418</v>
      </c>
      <c r="O8">
        <v>1355</v>
      </c>
      <c r="P8">
        <v>1395</v>
      </c>
      <c r="Q8">
        <v>1483</v>
      </c>
      <c r="R8">
        <v>900</v>
      </c>
      <c r="S8">
        <v>0</v>
      </c>
      <c r="T8">
        <v>1945</v>
      </c>
      <c r="U8">
        <v>8958</v>
      </c>
      <c r="V8">
        <v>8401</v>
      </c>
      <c r="W8">
        <v>4479</v>
      </c>
      <c r="X8">
        <v>4957</v>
      </c>
      <c r="Y8">
        <v>57111</v>
      </c>
      <c r="Z8">
        <v>9890</v>
      </c>
      <c r="AA8">
        <v>17359</v>
      </c>
      <c r="AB8">
        <v>18315</v>
      </c>
      <c r="AC8">
        <v>26767</v>
      </c>
      <c r="AD8">
        <v>20397</v>
      </c>
      <c r="AE8">
        <v>11450</v>
      </c>
      <c r="AF8">
        <v>15899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147411</v>
      </c>
      <c r="F9">
        <v>1544</v>
      </c>
      <c r="G9">
        <v>53434</v>
      </c>
      <c r="H9">
        <v>53434</v>
      </c>
      <c r="I9">
        <v>93977</v>
      </c>
      <c r="J9">
        <v>0</v>
      </c>
      <c r="K9">
        <v>219</v>
      </c>
      <c r="L9">
        <v>219</v>
      </c>
      <c r="M9">
        <v>0</v>
      </c>
      <c r="N9">
        <v>1</v>
      </c>
      <c r="O9">
        <v>53</v>
      </c>
      <c r="P9">
        <v>51</v>
      </c>
      <c r="Q9">
        <v>96</v>
      </c>
      <c r="R9">
        <v>18</v>
      </c>
      <c r="S9">
        <v>0</v>
      </c>
      <c r="T9">
        <v>0</v>
      </c>
      <c r="U9">
        <v>0</v>
      </c>
      <c r="V9">
        <v>1944</v>
      </c>
      <c r="W9">
        <v>1077</v>
      </c>
      <c r="X9">
        <v>1349</v>
      </c>
      <c r="Y9">
        <v>20515</v>
      </c>
      <c r="Z9">
        <v>4153</v>
      </c>
      <c r="AA9">
        <v>4098</v>
      </c>
      <c r="AB9">
        <v>4642</v>
      </c>
      <c r="AC9">
        <v>8813</v>
      </c>
      <c r="AD9">
        <v>7087</v>
      </c>
      <c r="AE9">
        <v>3248</v>
      </c>
      <c r="AF9">
        <v>5029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147740</v>
      </c>
      <c r="F10">
        <v>1648</v>
      </c>
      <c r="G10">
        <v>19746</v>
      </c>
      <c r="H10">
        <v>19746</v>
      </c>
      <c r="I10">
        <v>127994</v>
      </c>
      <c r="J10">
        <v>0</v>
      </c>
      <c r="K10">
        <v>7</v>
      </c>
      <c r="L10">
        <v>7</v>
      </c>
      <c r="M10">
        <v>0</v>
      </c>
      <c r="N10">
        <v>0</v>
      </c>
      <c r="O10">
        <v>0</v>
      </c>
      <c r="P10">
        <v>4</v>
      </c>
      <c r="Q10">
        <v>3</v>
      </c>
      <c r="R10">
        <v>0</v>
      </c>
      <c r="S10">
        <v>0</v>
      </c>
      <c r="T10">
        <v>0</v>
      </c>
      <c r="U10">
        <v>0</v>
      </c>
      <c r="V10">
        <v>22</v>
      </c>
      <c r="W10">
        <v>20</v>
      </c>
      <c r="X10">
        <v>21</v>
      </c>
      <c r="Y10">
        <v>18598</v>
      </c>
      <c r="Z10">
        <v>181</v>
      </c>
      <c r="AA10">
        <v>62</v>
      </c>
      <c r="AB10">
        <v>64</v>
      </c>
      <c r="AC10">
        <v>452</v>
      </c>
      <c r="AD10">
        <v>148</v>
      </c>
      <c r="AE10">
        <v>60</v>
      </c>
      <c r="AF10">
        <v>237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147300</v>
      </c>
      <c r="F11">
        <v>1525</v>
      </c>
      <c r="G11">
        <v>19975</v>
      </c>
      <c r="H11">
        <v>19975</v>
      </c>
      <c r="I11">
        <v>127325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33</v>
      </c>
      <c r="W11">
        <v>23</v>
      </c>
      <c r="X11">
        <v>13</v>
      </c>
      <c r="Y11">
        <v>18854</v>
      </c>
      <c r="Z11">
        <v>166</v>
      </c>
      <c r="AA11">
        <v>79</v>
      </c>
      <c r="AB11">
        <v>59</v>
      </c>
      <c r="AC11">
        <v>461</v>
      </c>
      <c r="AD11">
        <v>166</v>
      </c>
      <c r="AE11">
        <v>72</v>
      </c>
      <c r="AF11">
        <v>187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146621</v>
      </c>
      <c r="F12">
        <v>1793</v>
      </c>
      <c r="G12">
        <v>55229</v>
      </c>
      <c r="H12">
        <v>55229</v>
      </c>
      <c r="I12">
        <v>91392</v>
      </c>
      <c r="J12">
        <v>0</v>
      </c>
      <c r="K12">
        <v>10</v>
      </c>
      <c r="L12">
        <v>10</v>
      </c>
      <c r="M12">
        <v>0</v>
      </c>
      <c r="N12">
        <v>2</v>
      </c>
      <c r="O12">
        <v>0</v>
      </c>
      <c r="P12">
        <v>5</v>
      </c>
      <c r="Q12">
        <v>3</v>
      </c>
      <c r="R12">
        <v>0</v>
      </c>
      <c r="S12">
        <v>0</v>
      </c>
      <c r="T12">
        <v>0</v>
      </c>
      <c r="U12">
        <v>0</v>
      </c>
      <c r="V12">
        <v>2811</v>
      </c>
      <c r="W12">
        <v>1359</v>
      </c>
      <c r="X12">
        <v>1722</v>
      </c>
      <c r="Y12">
        <v>19357</v>
      </c>
      <c r="Z12">
        <v>4396</v>
      </c>
      <c r="AA12">
        <v>5529</v>
      </c>
      <c r="AB12">
        <v>6255</v>
      </c>
      <c r="AC12">
        <v>8255</v>
      </c>
      <c r="AD12">
        <v>7651</v>
      </c>
      <c r="AE12">
        <v>4002</v>
      </c>
      <c r="AF12">
        <v>5666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151542</v>
      </c>
      <c r="F13">
        <v>1695</v>
      </c>
      <c r="G13">
        <v>54907</v>
      </c>
      <c r="H13">
        <v>54907</v>
      </c>
      <c r="I13">
        <v>96635</v>
      </c>
      <c r="J13">
        <v>0</v>
      </c>
      <c r="K13">
        <v>230</v>
      </c>
      <c r="L13">
        <v>230</v>
      </c>
      <c r="M13">
        <v>0</v>
      </c>
      <c r="N13">
        <v>2</v>
      </c>
      <c r="O13">
        <v>51</v>
      </c>
      <c r="P13">
        <v>78</v>
      </c>
      <c r="Q13">
        <v>74</v>
      </c>
      <c r="R13">
        <v>25</v>
      </c>
      <c r="S13">
        <v>0</v>
      </c>
      <c r="T13">
        <v>0</v>
      </c>
      <c r="U13">
        <v>0</v>
      </c>
      <c r="V13">
        <v>1927</v>
      </c>
      <c r="W13">
        <v>1169</v>
      </c>
      <c r="X13">
        <v>1528</v>
      </c>
      <c r="Y13">
        <v>18831</v>
      </c>
      <c r="Z13">
        <v>5230</v>
      </c>
      <c r="AA13">
        <v>4265</v>
      </c>
      <c r="AB13">
        <v>4983</v>
      </c>
      <c r="AC13">
        <v>9814</v>
      </c>
      <c r="AD13">
        <v>7220</v>
      </c>
      <c r="AE13">
        <v>3294</v>
      </c>
      <c r="AF13">
        <v>5664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111288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147154</v>
      </c>
      <c r="F15">
        <v>1572</v>
      </c>
      <c r="G15">
        <v>56660</v>
      </c>
      <c r="H15">
        <v>56660</v>
      </c>
      <c r="I15">
        <v>90494</v>
      </c>
      <c r="J15">
        <v>0</v>
      </c>
      <c r="K15">
        <v>116</v>
      </c>
      <c r="L15">
        <v>116</v>
      </c>
      <c r="M15">
        <v>0</v>
      </c>
      <c r="N15">
        <v>1</v>
      </c>
      <c r="O15">
        <v>30</v>
      </c>
      <c r="P15">
        <v>33</v>
      </c>
      <c r="Q15">
        <v>37</v>
      </c>
      <c r="R15">
        <v>15</v>
      </c>
      <c r="S15">
        <v>0</v>
      </c>
      <c r="T15">
        <v>0</v>
      </c>
      <c r="U15">
        <v>0</v>
      </c>
      <c r="V15">
        <v>2919</v>
      </c>
      <c r="W15">
        <v>1395</v>
      </c>
      <c r="X15">
        <v>1924</v>
      </c>
      <c r="Y15">
        <v>19417</v>
      </c>
      <c r="Z15">
        <v>4038</v>
      </c>
      <c r="AA15">
        <v>5709</v>
      </c>
      <c r="AB15">
        <v>6767</v>
      </c>
      <c r="AC15">
        <v>8776</v>
      </c>
      <c r="AD15">
        <v>7958</v>
      </c>
      <c r="AE15">
        <v>4145</v>
      </c>
      <c r="AF15">
        <v>5972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147217</v>
      </c>
      <c r="F16">
        <v>1741</v>
      </c>
      <c r="G16">
        <v>50135</v>
      </c>
      <c r="H16">
        <v>50135</v>
      </c>
      <c r="I16">
        <v>97082</v>
      </c>
      <c r="J16">
        <v>0</v>
      </c>
      <c r="K16">
        <v>8</v>
      </c>
      <c r="L16">
        <v>8</v>
      </c>
      <c r="M16">
        <v>0</v>
      </c>
      <c r="N16">
        <v>1</v>
      </c>
      <c r="O16">
        <v>0</v>
      </c>
      <c r="P16">
        <v>5</v>
      </c>
      <c r="Q16">
        <v>2</v>
      </c>
      <c r="R16">
        <v>0</v>
      </c>
      <c r="S16">
        <v>0</v>
      </c>
      <c r="T16">
        <v>0</v>
      </c>
      <c r="U16">
        <v>0</v>
      </c>
      <c r="V16">
        <v>1360</v>
      </c>
      <c r="W16">
        <v>1503</v>
      </c>
      <c r="X16">
        <v>1420</v>
      </c>
      <c r="Y16">
        <v>19649</v>
      </c>
      <c r="Z16">
        <v>2608</v>
      </c>
      <c r="AA16">
        <v>4366</v>
      </c>
      <c r="AB16">
        <v>4200</v>
      </c>
      <c r="AC16">
        <v>11584</v>
      </c>
      <c r="AD16">
        <v>4781</v>
      </c>
      <c r="AE16">
        <v>2328</v>
      </c>
      <c r="AF16">
        <v>4894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146290</v>
      </c>
      <c r="F17">
        <v>1748</v>
      </c>
      <c r="G17">
        <v>17547</v>
      </c>
      <c r="H17">
        <v>17547</v>
      </c>
      <c r="I17">
        <v>128743</v>
      </c>
      <c r="J17">
        <v>0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13</v>
      </c>
      <c r="W17">
        <v>15</v>
      </c>
      <c r="X17">
        <v>13</v>
      </c>
      <c r="Y17">
        <v>16954</v>
      </c>
      <c r="Z17">
        <v>87</v>
      </c>
      <c r="AA17">
        <v>43</v>
      </c>
      <c r="AB17">
        <v>39</v>
      </c>
      <c r="AC17">
        <v>264</v>
      </c>
      <c r="AD17">
        <v>63</v>
      </c>
      <c r="AE17">
        <v>32</v>
      </c>
      <c r="AF17">
        <v>103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149283</v>
      </c>
      <c r="F18">
        <v>1083</v>
      </c>
      <c r="G18">
        <v>33111</v>
      </c>
      <c r="H18">
        <v>33098</v>
      </c>
      <c r="I18">
        <v>262454</v>
      </c>
      <c r="J18">
        <v>3001</v>
      </c>
      <c r="K18">
        <v>25</v>
      </c>
      <c r="L18">
        <v>25</v>
      </c>
      <c r="M18">
        <v>0</v>
      </c>
      <c r="N18">
        <v>0</v>
      </c>
      <c r="O18">
        <v>0</v>
      </c>
      <c r="P18">
        <v>13</v>
      </c>
      <c r="Q18">
        <v>12</v>
      </c>
      <c r="R18">
        <v>0</v>
      </c>
      <c r="S18">
        <v>0</v>
      </c>
      <c r="T18">
        <v>0</v>
      </c>
      <c r="U18">
        <v>13</v>
      </c>
      <c r="V18">
        <v>13</v>
      </c>
      <c r="W18">
        <v>6</v>
      </c>
      <c r="X18">
        <v>12</v>
      </c>
      <c r="Y18">
        <v>32518</v>
      </c>
      <c r="Z18">
        <v>60</v>
      </c>
      <c r="AA18">
        <v>25</v>
      </c>
      <c r="AB18">
        <v>37</v>
      </c>
      <c r="AC18">
        <v>255</v>
      </c>
      <c r="AD18">
        <v>40</v>
      </c>
      <c r="AE18">
        <v>35</v>
      </c>
      <c r="AF18">
        <v>134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149553</v>
      </c>
      <c r="F19">
        <v>2498</v>
      </c>
      <c r="G19">
        <v>15734</v>
      </c>
      <c r="H19">
        <v>15734</v>
      </c>
      <c r="I19">
        <v>133819</v>
      </c>
      <c r="J19">
        <v>0</v>
      </c>
      <c r="K19">
        <v>4</v>
      </c>
      <c r="L19">
        <v>4</v>
      </c>
      <c r="M19">
        <v>0</v>
      </c>
      <c r="N19">
        <v>0</v>
      </c>
      <c r="O19">
        <v>0</v>
      </c>
      <c r="P19">
        <v>3</v>
      </c>
      <c r="Q19">
        <v>1</v>
      </c>
      <c r="R19">
        <v>0</v>
      </c>
      <c r="S19">
        <v>0</v>
      </c>
      <c r="T19">
        <v>0</v>
      </c>
      <c r="U19">
        <v>0</v>
      </c>
      <c r="V19">
        <v>6</v>
      </c>
      <c r="W19">
        <v>16</v>
      </c>
      <c r="X19">
        <v>3</v>
      </c>
      <c r="Y19">
        <v>15131</v>
      </c>
      <c r="Z19">
        <v>47</v>
      </c>
      <c r="AA19">
        <v>38</v>
      </c>
      <c r="AB19">
        <v>12</v>
      </c>
      <c r="AC19">
        <v>361</v>
      </c>
      <c r="AD19">
        <v>38</v>
      </c>
      <c r="AE19">
        <v>21</v>
      </c>
      <c r="AF19">
        <v>107</v>
      </c>
    </row>
    <row r="20" spans="1:32" x14ac:dyDescent="0.2">
      <c r="A20" t="s">
        <v>8</v>
      </c>
      <c r="B20" t="s">
        <v>7</v>
      </c>
      <c r="C20" t="s">
        <v>6</v>
      </c>
      <c r="D20">
        <v>8718</v>
      </c>
      <c r="E20">
        <v>146584</v>
      </c>
      <c r="F20">
        <v>656</v>
      </c>
      <c r="G20">
        <v>112122</v>
      </c>
      <c r="H20">
        <v>112109</v>
      </c>
      <c r="I20">
        <v>178913</v>
      </c>
      <c r="J20">
        <v>2133</v>
      </c>
      <c r="K20">
        <v>14</v>
      </c>
      <c r="L20">
        <v>23</v>
      </c>
      <c r="M20">
        <v>0</v>
      </c>
      <c r="N20">
        <v>1</v>
      </c>
      <c r="O20">
        <v>2</v>
      </c>
      <c r="P20">
        <v>2</v>
      </c>
      <c r="Q20">
        <v>16</v>
      </c>
      <c r="R20">
        <v>2</v>
      </c>
      <c r="S20">
        <v>0</v>
      </c>
      <c r="T20">
        <v>0</v>
      </c>
      <c r="U20">
        <v>13</v>
      </c>
      <c r="V20">
        <v>5543</v>
      </c>
      <c r="W20">
        <v>2686</v>
      </c>
      <c r="X20">
        <v>3534</v>
      </c>
      <c r="Y20">
        <v>38941</v>
      </c>
      <c r="Z20">
        <v>8589</v>
      </c>
      <c r="AA20">
        <v>10915</v>
      </c>
      <c r="AB20">
        <v>12611</v>
      </c>
      <c r="AC20">
        <v>16259</v>
      </c>
      <c r="AD20">
        <v>16266</v>
      </c>
      <c r="AE20">
        <v>8516</v>
      </c>
      <c r="AF20">
        <v>11752</v>
      </c>
    </row>
    <row r="21" spans="1:32" x14ac:dyDescent="0.2">
      <c r="A21" t="s">
        <v>8</v>
      </c>
      <c r="B21" t="s">
        <v>7</v>
      </c>
      <c r="C21" t="s">
        <v>6</v>
      </c>
      <c r="D21">
        <v>9009</v>
      </c>
      <c r="E21">
        <v>146753</v>
      </c>
      <c r="F21">
        <v>1862</v>
      </c>
      <c r="G21">
        <v>57015</v>
      </c>
      <c r="H21">
        <v>57015</v>
      </c>
      <c r="I21">
        <v>89738</v>
      </c>
      <c r="J21">
        <v>0</v>
      </c>
      <c r="K21">
        <v>7</v>
      </c>
      <c r="L21">
        <v>7</v>
      </c>
      <c r="M21">
        <v>0</v>
      </c>
      <c r="N21">
        <v>2</v>
      </c>
      <c r="O21">
        <v>2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2996</v>
      </c>
      <c r="W21">
        <v>1383</v>
      </c>
      <c r="X21">
        <v>2114</v>
      </c>
      <c r="Y21">
        <v>19860</v>
      </c>
      <c r="Z21">
        <v>4213</v>
      </c>
      <c r="AA21">
        <v>5762</v>
      </c>
      <c r="AB21">
        <v>7224</v>
      </c>
      <c r="AC21">
        <v>8017</v>
      </c>
      <c r="AD21">
        <v>8071</v>
      </c>
      <c r="AE21">
        <v>4284</v>
      </c>
      <c r="AF21">
        <v>6070</v>
      </c>
    </row>
    <row r="22" spans="1:32" x14ac:dyDescent="0.2">
      <c r="A22" t="s">
        <v>8</v>
      </c>
      <c r="B22" t="s">
        <v>7</v>
      </c>
      <c r="C22" t="s">
        <v>6</v>
      </c>
      <c r="D22">
        <v>9885</v>
      </c>
      <c r="E22">
        <v>146970</v>
      </c>
      <c r="F22">
        <v>1652</v>
      </c>
      <c r="G22">
        <v>59967</v>
      </c>
      <c r="H22">
        <v>59967</v>
      </c>
      <c r="I22">
        <v>87003</v>
      </c>
      <c r="J22">
        <v>0</v>
      </c>
      <c r="K22">
        <v>296</v>
      </c>
      <c r="L22">
        <v>296</v>
      </c>
      <c r="M22">
        <v>0</v>
      </c>
      <c r="N22">
        <v>0</v>
      </c>
      <c r="O22">
        <v>58</v>
      </c>
      <c r="P22">
        <v>73</v>
      </c>
      <c r="Q22">
        <v>126</v>
      </c>
      <c r="R22">
        <v>39</v>
      </c>
      <c r="S22">
        <v>0</v>
      </c>
      <c r="T22">
        <v>0</v>
      </c>
      <c r="U22">
        <v>0</v>
      </c>
      <c r="V22">
        <v>2550</v>
      </c>
      <c r="W22">
        <v>1702</v>
      </c>
      <c r="X22">
        <v>1861</v>
      </c>
      <c r="Y22">
        <v>19471</v>
      </c>
      <c r="Z22">
        <v>4309</v>
      </c>
      <c r="AA22">
        <v>5954</v>
      </c>
      <c r="AB22">
        <v>6272</v>
      </c>
      <c r="AC22">
        <v>11772</v>
      </c>
      <c r="AD22">
        <v>8146</v>
      </c>
      <c r="AE22">
        <v>3845</v>
      </c>
      <c r="AF22">
        <v>6015</v>
      </c>
    </row>
    <row r="23" spans="1:32" x14ac:dyDescent="0.2">
      <c r="A23" t="s">
        <v>8</v>
      </c>
      <c r="B23" t="s">
        <v>7</v>
      </c>
      <c r="C23" t="s">
        <v>6</v>
      </c>
      <c r="D23" t="s">
        <v>5</v>
      </c>
      <c r="E23">
        <v>376000</v>
      </c>
      <c r="F23">
        <v>26</v>
      </c>
      <c r="G23">
        <v>3071652</v>
      </c>
      <c r="H23">
        <v>897232</v>
      </c>
      <c r="I23">
        <v>4746680</v>
      </c>
      <c r="J23">
        <v>77668</v>
      </c>
      <c r="K23">
        <v>11461</v>
      </c>
      <c r="L23">
        <v>11875</v>
      </c>
      <c r="M23">
        <v>4</v>
      </c>
      <c r="N23">
        <v>3392</v>
      </c>
      <c r="O23">
        <v>1661</v>
      </c>
      <c r="P23">
        <v>1790</v>
      </c>
      <c r="Q23">
        <v>2058</v>
      </c>
      <c r="R23">
        <v>1043</v>
      </c>
      <c r="S23">
        <v>0</v>
      </c>
      <c r="T23">
        <v>1927</v>
      </c>
      <c r="U23">
        <v>2174420</v>
      </c>
      <c r="V23">
        <v>33863</v>
      </c>
      <c r="W23">
        <v>19001</v>
      </c>
      <c r="X23">
        <v>23130</v>
      </c>
      <c r="Y23">
        <v>391311</v>
      </c>
      <c r="Z23">
        <v>56762</v>
      </c>
      <c r="AA23">
        <v>71865</v>
      </c>
      <c r="AB23">
        <v>80123</v>
      </c>
      <c r="AC23">
        <v>132029</v>
      </c>
      <c r="AD23">
        <v>100803</v>
      </c>
      <c r="AE23">
        <v>50770</v>
      </c>
      <c r="AF23">
        <v>77686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C15D-7984-CD46-B71C-7BFE53A098FF}">
  <dimension ref="A1:AF23"/>
  <sheetViews>
    <sheetView topLeftCell="A2" workbookViewId="0">
      <selection activeCell="N4" sqref="N4:N22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56</v>
      </c>
    </row>
    <row r="3" spans="1:32" x14ac:dyDescent="0.2">
      <c r="A3" t="s">
        <v>39</v>
      </c>
      <c r="B3" t="s">
        <v>38</v>
      </c>
      <c r="C3" t="s">
        <v>37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5803548</v>
      </c>
      <c r="F5">
        <v>170825</v>
      </c>
      <c r="G5">
        <v>898840</v>
      </c>
      <c r="H5">
        <v>898840</v>
      </c>
      <c r="I5">
        <v>4904708</v>
      </c>
      <c r="J5">
        <v>0</v>
      </c>
      <c r="K5">
        <v>822</v>
      </c>
      <c r="L5">
        <v>822</v>
      </c>
      <c r="M5">
        <v>1</v>
      </c>
      <c r="N5">
        <v>16</v>
      </c>
      <c r="O5">
        <v>35</v>
      </c>
      <c r="P5">
        <v>306</v>
      </c>
      <c r="Q5">
        <v>431</v>
      </c>
      <c r="R5">
        <v>31</v>
      </c>
      <c r="S5">
        <v>2</v>
      </c>
      <c r="T5">
        <v>0</v>
      </c>
      <c r="U5">
        <v>0</v>
      </c>
      <c r="V5">
        <v>14846</v>
      </c>
      <c r="W5">
        <v>13490</v>
      </c>
      <c r="X5">
        <v>13399</v>
      </c>
      <c r="Y5">
        <v>543344</v>
      </c>
      <c r="Z5">
        <v>43877</v>
      </c>
      <c r="AA5">
        <v>41826</v>
      </c>
      <c r="AB5">
        <v>41644</v>
      </c>
      <c r="AC5">
        <v>134731</v>
      </c>
      <c r="AD5">
        <v>55397</v>
      </c>
      <c r="AE5">
        <v>22915</v>
      </c>
      <c r="AF5">
        <v>56017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6073191</v>
      </c>
      <c r="F6">
        <v>160294</v>
      </c>
      <c r="G6">
        <v>1959619</v>
      </c>
      <c r="H6">
        <v>1959619</v>
      </c>
      <c r="I6">
        <v>4113572</v>
      </c>
      <c r="J6">
        <v>0</v>
      </c>
      <c r="K6">
        <v>16288</v>
      </c>
      <c r="L6">
        <v>16288</v>
      </c>
      <c r="M6">
        <v>1</v>
      </c>
      <c r="N6">
        <v>18</v>
      </c>
      <c r="O6">
        <v>5057</v>
      </c>
      <c r="P6">
        <v>3851</v>
      </c>
      <c r="Q6">
        <v>4847</v>
      </c>
      <c r="R6">
        <v>2514</v>
      </c>
      <c r="S6">
        <v>0</v>
      </c>
      <c r="T6">
        <v>0</v>
      </c>
      <c r="U6">
        <v>0</v>
      </c>
      <c r="V6">
        <v>96201</v>
      </c>
      <c r="W6">
        <v>66905</v>
      </c>
      <c r="X6">
        <v>71820</v>
      </c>
      <c r="Y6">
        <v>492676</v>
      </c>
      <c r="Z6">
        <v>144958</v>
      </c>
      <c r="AA6">
        <v>230011</v>
      </c>
      <c r="AB6">
        <v>239841</v>
      </c>
      <c r="AC6">
        <v>433521</v>
      </c>
      <c r="AD6">
        <v>282313</v>
      </c>
      <c r="AE6">
        <v>128916</v>
      </c>
      <c r="AF6">
        <v>226016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5849254</v>
      </c>
      <c r="F7">
        <v>151975</v>
      </c>
      <c r="G7">
        <v>1282987</v>
      </c>
      <c r="H7">
        <v>1282987</v>
      </c>
      <c r="I7">
        <v>4566267</v>
      </c>
      <c r="J7">
        <v>0</v>
      </c>
      <c r="K7">
        <v>17880</v>
      </c>
      <c r="L7">
        <v>17880</v>
      </c>
      <c r="M7">
        <v>8</v>
      </c>
      <c r="N7">
        <v>60</v>
      </c>
      <c r="O7">
        <v>2029</v>
      </c>
      <c r="P7">
        <v>4660</v>
      </c>
      <c r="Q7">
        <v>10118</v>
      </c>
      <c r="R7">
        <v>1005</v>
      </c>
      <c r="S7">
        <v>0</v>
      </c>
      <c r="T7">
        <v>0</v>
      </c>
      <c r="U7">
        <v>0</v>
      </c>
      <c r="V7">
        <v>27756</v>
      </c>
      <c r="W7">
        <v>18835</v>
      </c>
      <c r="X7">
        <v>19411</v>
      </c>
      <c r="Y7">
        <v>473407</v>
      </c>
      <c r="Z7">
        <v>164537</v>
      </c>
      <c r="AA7">
        <v>65426</v>
      </c>
      <c r="AB7">
        <v>66578</v>
      </c>
      <c r="AC7">
        <v>241382</v>
      </c>
      <c r="AD7">
        <v>159911</v>
      </c>
      <c r="AE7">
        <v>59860</v>
      </c>
      <c r="AF7">
        <v>100008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6526227</v>
      </c>
      <c r="F8">
        <v>68529</v>
      </c>
      <c r="G8">
        <v>5918811</v>
      </c>
      <c r="H8">
        <v>5563202</v>
      </c>
      <c r="I8">
        <v>13233137</v>
      </c>
      <c r="J8">
        <v>426733</v>
      </c>
      <c r="K8">
        <v>394278</v>
      </c>
      <c r="L8">
        <v>396241</v>
      </c>
      <c r="M8">
        <v>54</v>
      </c>
      <c r="N8">
        <v>123554</v>
      </c>
      <c r="O8">
        <v>51704</v>
      </c>
      <c r="P8">
        <v>58553</v>
      </c>
      <c r="Q8">
        <v>60851</v>
      </c>
      <c r="R8">
        <v>35492</v>
      </c>
      <c r="S8">
        <v>26</v>
      </c>
      <c r="T8">
        <v>66007</v>
      </c>
      <c r="U8">
        <v>355609</v>
      </c>
      <c r="V8">
        <v>294109</v>
      </c>
      <c r="W8">
        <v>161279</v>
      </c>
      <c r="X8">
        <v>186759</v>
      </c>
      <c r="Y8">
        <v>1342731</v>
      </c>
      <c r="Z8">
        <v>384392</v>
      </c>
      <c r="AA8">
        <v>616667</v>
      </c>
      <c r="AB8">
        <v>667627</v>
      </c>
      <c r="AC8">
        <v>1027984</v>
      </c>
      <c r="AD8">
        <v>753871</v>
      </c>
      <c r="AE8">
        <v>406679</v>
      </c>
      <c r="AF8">
        <v>609137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5890039</v>
      </c>
      <c r="F9">
        <v>148575</v>
      </c>
      <c r="G9">
        <v>1697453</v>
      </c>
      <c r="H9">
        <v>1697453</v>
      </c>
      <c r="I9">
        <v>4192586</v>
      </c>
      <c r="J9">
        <v>0</v>
      </c>
      <c r="K9">
        <v>14459</v>
      </c>
      <c r="L9">
        <v>14459</v>
      </c>
      <c r="M9">
        <v>1</v>
      </c>
      <c r="N9">
        <v>29</v>
      </c>
      <c r="O9">
        <v>3298</v>
      </c>
      <c r="P9">
        <v>3108</v>
      </c>
      <c r="Q9">
        <v>5745</v>
      </c>
      <c r="R9">
        <v>2278</v>
      </c>
      <c r="S9">
        <v>0</v>
      </c>
      <c r="T9">
        <v>0</v>
      </c>
      <c r="U9">
        <v>0</v>
      </c>
      <c r="V9">
        <v>67922</v>
      </c>
      <c r="W9">
        <v>36466</v>
      </c>
      <c r="X9">
        <v>48386</v>
      </c>
      <c r="Y9">
        <v>493971</v>
      </c>
      <c r="Z9">
        <v>161600</v>
      </c>
      <c r="AA9">
        <v>140854</v>
      </c>
      <c r="AB9">
        <v>164694</v>
      </c>
      <c r="AC9">
        <v>324155</v>
      </c>
      <c r="AD9">
        <v>253397</v>
      </c>
      <c r="AE9">
        <v>117147</v>
      </c>
      <c r="AF9">
        <v>179949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5885717</v>
      </c>
      <c r="F10">
        <v>154474</v>
      </c>
      <c r="G10">
        <v>525302</v>
      </c>
      <c r="H10">
        <v>525302</v>
      </c>
      <c r="I10">
        <v>5360415</v>
      </c>
      <c r="J10">
        <v>0</v>
      </c>
      <c r="K10">
        <v>243</v>
      </c>
      <c r="L10">
        <v>243</v>
      </c>
      <c r="M10">
        <v>0</v>
      </c>
      <c r="N10">
        <v>1</v>
      </c>
      <c r="O10">
        <v>1</v>
      </c>
      <c r="P10">
        <v>97</v>
      </c>
      <c r="Q10">
        <v>142</v>
      </c>
      <c r="R10">
        <v>1</v>
      </c>
      <c r="S10">
        <v>1</v>
      </c>
      <c r="T10">
        <v>0</v>
      </c>
      <c r="U10">
        <v>0</v>
      </c>
      <c r="V10">
        <v>1169</v>
      </c>
      <c r="W10">
        <v>1063</v>
      </c>
      <c r="X10">
        <v>947</v>
      </c>
      <c r="Y10">
        <v>474312</v>
      </c>
      <c r="Z10">
        <v>8523</v>
      </c>
      <c r="AA10">
        <v>3295</v>
      </c>
      <c r="AB10">
        <v>3063</v>
      </c>
      <c r="AC10">
        <v>21861</v>
      </c>
      <c r="AD10">
        <v>6471</v>
      </c>
      <c r="AE10">
        <v>2344</v>
      </c>
      <c r="AF10">
        <v>8368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5863693</v>
      </c>
      <c r="F11">
        <v>144462</v>
      </c>
      <c r="G11">
        <v>543605</v>
      </c>
      <c r="H11">
        <v>543605</v>
      </c>
      <c r="I11">
        <v>5320088</v>
      </c>
      <c r="J11">
        <v>0</v>
      </c>
      <c r="K11">
        <v>253</v>
      </c>
      <c r="L11">
        <v>253</v>
      </c>
      <c r="M11">
        <v>1</v>
      </c>
      <c r="N11">
        <v>4</v>
      </c>
      <c r="O11">
        <v>3</v>
      </c>
      <c r="P11">
        <v>83</v>
      </c>
      <c r="Q11">
        <v>158</v>
      </c>
      <c r="R11">
        <v>1</v>
      </c>
      <c r="S11">
        <v>3</v>
      </c>
      <c r="T11">
        <v>0</v>
      </c>
      <c r="U11">
        <v>0</v>
      </c>
      <c r="V11">
        <v>2046</v>
      </c>
      <c r="W11">
        <v>1569</v>
      </c>
      <c r="X11">
        <v>1256</v>
      </c>
      <c r="Y11">
        <v>485134</v>
      </c>
      <c r="Z11">
        <v>8766</v>
      </c>
      <c r="AA11">
        <v>5184</v>
      </c>
      <c r="AB11">
        <v>4558</v>
      </c>
      <c r="AC11">
        <v>23251</v>
      </c>
      <c r="AD11">
        <v>9570</v>
      </c>
      <c r="AE11">
        <v>3201</v>
      </c>
      <c r="AF11">
        <v>8559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5835547</v>
      </c>
      <c r="F12">
        <v>165728</v>
      </c>
      <c r="G12">
        <v>1796123</v>
      </c>
      <c r="H12">
        <v>1796123</v>
      </c>
      <c r="I12">
        <v>4039424</v>
      </c>
      <c r="J12">
        <v>0</v>
      </c>
      <c r="K12">
        <v>402</v>
      </c>
      <c r="L12">
        <v>402</v>
      </c>
      <c r="M12">
        <v>0</v>
      </c>
      <c r="N12">
        <v>32</v>
      </c>
      <c r="O12">
        <v>49</v>
      </c>
      <c r="P12">
        <v>151</v>
      </c>
      <c r="Q12">
        <v>136</v>
      </c>
      <c r="R12">
        <v>34</v>
      </c>
      <c r="S12">
        <v>0</v>
      </c>
      <c r="T12">
        <v>0</v>
      </c>
      <c r="U12">
        <v>0</v>
      </c>
      <c r="V12">
        <v>97057</v>
      </c>
      <c r="W12">
        <v>47308</v>
      </c>
      <c r="X12">
        <v>63914</v>
      </c>
      <c r="Y12">
        <v>486464</v>
      </c>
      <c r="Z12">
        <v>165857</v>
      </c>
      <c r="AA12">
        <v>191673</v>
      </c>
      <c r="AB12">
        <v>224885</v>
      </c>
      <c r="AC12">
        <v>305995</v>
      </c>
      <c r="AD12">
        <v>279603</v>
      </c>
      <c r="AE12">
        <v>137993</v>
      </c>
      <c r="AF12">
        <v>211528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6097086</v>
      </c>
      <c r="F13">
        <v>178629</v>
      </c>
      <c r="G13">
        <v>1808473</v>
      </c>
      <c r="H13">
        <v>1808473</v>
      </c>
      <c r="I13">
        <v>4288613</v>
      </c>
      <c r="J13">
        <v>0</v>
      </c>
      <c r="K13">
        <v>19891</v>
      </c>
      <c r="L13">
        <v>19891</v>
      </c>
      <c r="M13">
        <v>1</v>
      </c>
      <c r="N13">
        <v>43</v>
      </c>
      <c r="O13">
        <v>3948</v>
      </c>
      <c r="P13">
        <v>7923</v>
      </c>
      <c r="Q13">
        <v>6220</v>
      </c>
      <c r="R13">
        <v>1755</v>
      </c>
      <c r="S13">
        <v>0</v>
      </c>
      <c r="T13">
        <v>1</v>
      </c>
      <c r="U13">
        <v>0</v>
      </c>
      <c r="V13">
        <v>70225</v>
      </c>
      <c r="W13">
        <v>43187</v>
      </c>
      <c r="X13">
        <v>50350</v>
      </c>
      <c r="Y13">
        <v>487857</v>
      </c>
      <c r="Z13">
        <v>192857</v>
      </c>
      <c r="AA13">
        <v>156599</v>
      </c>
      <c r="AB13">
        <v>170925</v>
      </c>
      <c r="AC13">
        <v>378458</v>
      </c>
      <c r="AD13">
        <v>253356</v>
      </c>
      <c r="AE13">
        <v>114484</v>
      </c>
      <c r="AF13">
        <v>197807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4403576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5854420</v>
      </c>
      <c r="F15">
        <v>173020</v>
      </c>
      <c r="G15">
        <v>1894711</v>
      </c>
      <c r="H15">
        <v>1894711</v>
      </c>
      <c r="I15">
        <v>3959709</v>
      </c>
      <c r="J15">
        <v>0</v>
      </c>
      <c r="K15">
        <v>10338</v>
      </c>
      <c r="L15">
        <v>10338</v>
      </c>
      <c r="M15">
        <v>1</v>
      </c>
      <c r="N15">
        <v>26</v>
      </c>
      <c r="O15">
        <v>2872</v>
      </c>
      <c r="P15">
        <v>2910</v>
      </c>
      <c r="Q15">
        <v>3341</v>
      </c>
      <c r="R15">
        <v>1188</v>
      </c>
      <c r="S15">
        <v>0</v>
      </c>
      <c r="T15">
        <v>0</v>
      </c>
      <c r="U15">
        <v>0</v>
      </c>
      <c r="V15">
        <v>108776</v>
      </c>
      <c r="W15">
        <v>52757</v>
      </c>
      <c r="X15">
        <v>73582</v>
      </c>
      <c r="Y15">
        <v>500627</v>
      </c>
      <c r="Z15">
        <v>161180</v>
      </c>
      <c r="AA15">
        <v>214290</v>
      </c>
      <c r="AB15">
        <v>255940</v>
      </c>
      <c r="AC15">
        <v>322829</v>
      </c>
      <c r="AD15">
        <v>291353</v>
      </c>
      <c r="AE15">
        <v>150105</v>
      </c>
      <c r="AF15">
        <v>223161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5859704</v>
      </c>
      <c r="F16">
        <v>164515</v>
      </c>
      <c r="G16">
        <v>1554565</v>
      </c>
      <c r="H16">
        <v>1554565</v>
      </c>
      <c r="I16">
        <v>4305139</v>
      </c>
      <c r="J16">
        <v>0</v>
      </c>
      <c r="K16">
        <v>1130</v>
      </c>
      <c r="L16">
        <v>1130</v>
      </c>
      <c r="M16">
        <v>1</v>
      </c>
      <c r="N16">
        <v>25</v>
      </c>
      <c r="O16">
        <v>154</v>
      </c>
      <c r="P16">
        <v>211</v>
      </c>
      <c r="Q16">
        <v>647</v>
      </c>
      <c r="R16">
        <v>92</v>
      </c>
      <c r="S16">
        <v>0</v>
      </c>
      <c r="T16">
        <v>0</v>
      </c>
      <c r="U16">
        <v>0</v>
      </c>
      <c r="V16">
        <v>45673</v>
      </c>
      <c r="W16">
        <v>53780</v>
      </c>
      <c r="X16">
        <v>48617</v>
      </c>
      <c r="Y16">
        <v>486897</v>
      </c>
      <c r="Z16">
        <v>92329</v>
      </c>
      <c r="AA16">
        <v>153233</v>
      </c>
      <c r="AB16">
        <v>142907</v>
      </c>
      <c r="AC16">
        <v>421161</v>
      </c>
      <c r="AD16">
        <v>154854</v>
      </c>
      <c r="AE16">
        <v>68472</v>
      </c>
      <c r="AF16">
        <v>181650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5837827</v>
      </c>
      <c r="F17">
        <v>165303</v>
      </c>
      <c r="G17">
        <v>451467</v>
      </c>
      <c r="H17">
        <v>451467</v>
      </c>
      <c r="I17">
        <v>5386360</v>
      </c>
      <c r="J17">
        <v>0</v>
      </c>
      <c r="K17">
        <v>173</v>
      </c>
      <c r="L17">
        <v>173</v>
      </c>
      <c r="M17">
        <v>1</v>
      </c>
      <c r="N17">
        <v>3</v>
      </c>
      <c r="O17">
        <v>1</v>
      </c>
      <c r="P17">
        <v>45</v>
      </c>
      <c r="Q17">
        <v>122</v>
      </c>
      <c r="R17">
        <v>1</v>
      </c>
      <c r="S17">
        <v>0</v>
      </c>
      <c r="T17">
        <v>0</v>
      </c>
      <c r="U17">
        <v>0</v>
      </c>
      <c r="V17">
        <v>538</v>
      </c>
      <c r="W17">
        <v>506</v>
      </c>
      <c r="X17">
        <v>406</v>
      </c>
      <c r="Y17">
        <v>423907</v>
      </c>
      <c r="Z17">
        <v>5003</v>
      </c>
      <c r="AA17">
        <v>1550</v>
      </c>
      <c r="AB17">
        <v>1350</v>
      </c>
      <c r="AC17">
        <v>11893</v>
      </c>
      <c r="AD17">
        <v>3511</v>
      </c>
      <c r="AE17">
        <v>1159</v>
      </c>
      <c r="AF17">
        <v>4371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5985140</v>
      </c>
      <c r="F18">
        <v>106711</v>
      </c>
      <c r="G18">
        <v>840586</v>
      </c>
      <c r="H18">
        <v>839004</v>
      </c>
      <c r="I18">
        <v>10867604</v>
      </c>
      <c r="J18">
        <v>262090</v>
      </c>
      <c r="K18">
        <v>2058</v>
      </c>
      <c r="L18">
        <v>2077</v>
      </c>
      <c r="M18">
        <v>2</v>
      </c>
      <c r="N18">
        <v>2</v>
      </c>
      <c r="O18">
        <v>11</v>
      </c>
      <c r="P18">
        <v>940</v>
      </c>
      <c r="Q18">
        <v>1115</v>
      </c>
      <c r="R18">
        <v>7</v>
      </c>
      <c r="S18">
        <v>0</v>
      </c>
      <c r="T18">
        <v>0</v>
      </c>
      <c r="U18">
        <v>1582</v>
      </c>
      <c r="V18">
        <v>693</v>
      </c>
      <c r="W18">
        <v>717</v>
      </c>
      <c r="X18">
        <v>615</v>
      </c>
      <c r="Y18">
        <v>808922</v>
      </c>
      <c r="Z18">
        <v>3224</v>
      </c>
      <c r="AA18">
        <v>2127</v>
      </c>
      <c r="AB18">
        <v>1923</v>
      </c>
      <c r="AC18">
        <v>12699</v>
      </c>
      <c r="AD18">
        <v>2787</v>
      </c>
      <c r="AE18">
        <v>1256</v>
      </c>
      <c r="AF18">
        <v>6014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5950978</v>
      </c>
      <c r="F19">
        <v>202812</v>
      </c>
      <c r="G19">
        <v>425587</v>
      </c>
      <c r="H19">
        <v>425587</v>
      </c>
      <c r="I19">
        <v>5525391</v>
      </c>
      <c r="J19">
        <v>0</v>
      </c>
      <c r="K19">
        <v>177</v>
      </c>
      <c r="L19">
        <v>177</v>
      </c>
      <c r="M19">
        <v>0</v>
      </c>
      <c r="N19">
        <v>0</v>
      </c>
      <c r="O19">
        <v>1</v>
      </c>
      <c r="P19">
        <v>49</v>
      </c>
      <c r="Q19">
        <v>124</v>
      </c>
      <c r="R19">
        <v>2</v>
      </c>
      <c r="S19">
        <v>1</v>
      </c>
      <c r="T19">
        <v>0</v>
      </c>
      <c r="U19">
        <v>0</v>
      </c>
      <c r="V19">
        <v>367</v>
      </c>
      <c r="W19">
        <v>778</v>
      </c>
      <c r="X19">
        <v>371</v>
      </c>
      <c r="Y19">
        <v>398612</v>
      </c>
      <c r="Z19">
        <v>1972</v>
      </c>
      <c r="AA19">
        <v>1923</v>
      </c>
      <c r="AB19">
        <v>1109</v>
      </c>
      <c r="AC19">
        <v>16667</v>
      </c>
      <c r="AD19">
        <v>1679</v>
      </c>
      <c r="AE19">
        <v>635</v>
      </c>
      <c r="AF19">
        <v>4329</v>
      </c>
    </row>
    <row r="20" spans="1:32" x14ac:dyDescent="0.2">
      <c r="A20" t="s">
        <v>8</v>
      </c>
      <c r="B20" t="s">
        <v>7</v>
      </c>
      <c r="C20" t="s">
        <v>6</v>
      </c>
      <c r="D20">
        <v>8718</v>
      </c>
      <c r="E20">
        <v>5983108</v>
      </c>
      <c r="F20">
        <v>88993</v>
      </c>
      <c r="G20">
        <v>3789096</v>
      </c>
      <c r="H20">
        <v>3787742</v>
      </c>
      <c r="I20">
        <v>7973276</v>
      </c>
      <c r="J20">
        <v>203844</v>
      </c>
      <c r="K20">
        <v>510</v>
      </c>
      <c r="L20">
        <v>558</v>
      </c>
      <c r="M20">
        <v>5</v>
      </c>
      <c r="N20">
        <v>46</v>
      </c>
      <c r="O20">
        <v>99</v>
      </c>
      <c r="P20">
        <v>153</v>
      </c>
      <c r="Q20">
        <v>231</v>
      </c>
      <c r="R20">
        <v>22</v>
      </c>
      <c r="S20">
        <v>1</v>
      </c>
      <c r="T20">
        <v>0</v>
      </c>
      <c r="U20">
        <v>1354</v>
      </c>
      <c r="V20">
        <v>208696</v>
      </c>
      <c r="W20">
        <v>99414</v>
      </c>
      <c r="X20">
        <v>141322</v>
      </c>
      <c r="Y20">
        <v>996792</v>
      </c>
      <c r="Z20">
        <v>359729</v>
      </c>
      <c r="AA20">
        <v>407524</v>
      </c>
      <c r="AB20">
        <v>491340</v>
      </c>
      <c r="AC20">
        <v>623497</v>
      </c>
      <c r="AD20">
        <v>611492</v>
      </c>
      <c r="AE20">
        <v>308024</v>
      </c>
      <c r="AF20">
        <v>438212</v>
      </c>
    </row>
    <row r="21" spans="1:32" x14ac:dyDescent="0.2">
      <c r="A21" t="s">
        <v>8</v>
      </c>
      <c r="B21" t="s">
        <v>7</v>
      </c>
      <c r="C21" t="s">
        <v>6</v>
      </c>
      <c r="D21">
        <v>9009</v>
      </c>
      <c r="E21">
        <v>5867393</v>
      </c>
      <c r="F21">
        <v>164517</v>
      </c>
      <c r="G21">
        <v>1892734</v>
      </c>
      <c r="H21">
        <v>1892734</v>
      </c>
      <c r="I21">
        <v>3974659</v>
      </c>
      <c r="J21">
        <v>0</v>
      </c>
      <c r="K21">
        <v>323</v>
      </c>
      <c r="L21">
        <v>323</v>
      </c>
      <c r="M21">
        <v>1</v>
      </c>
      <c r="N21">
        <v>34</v>
      </c>
      <c r="O21">
        <v>56</v>
      </c>
      <c r="P21">
        <v>90</v>
      </c>
      <c r="Q21">
        <v>130</v>
      </c>
      <c r="R21">
        <v>11</v>
      </c>
      <c r="S21">
        <v>1</v>
      </c>
      <c r="T21">
        <v>0</v>
      </c>
      <c r="U21">
        <v>0</v>
      </c>
      <c r="V21">
        <v>120789</v>
      </c>
      <c r="W21">
        <v>52838</v>
      </c>
      <c r="X21">
        <v>80493</v>
      </c>
      <c r="Y21">
        <v>488993</v>
      </c>
      <c r="Z21">
        <v>156948</v>
      </c>
      <c r="AA21">
        <v>226465</v>
      </c>
      <c r="AB21">
        <v>281775</v>
      </c>
      <c r="AC21">
        <v>304527</v>
      </c>
      <c r="AD21">
        <v>300621</v>
      </c>
      <c r="AE21">
        <v>162073</v>
      </c>
      <c r="AF21">
        <v>225124</v>
      </c>
    </row>
    <row r="22" spans="1:32" x14ac:dyDescent="0.2">
      <c r="A22" t="s">
        <v>8</v>
      </c>
      <c r="B22" t="s">
        <v>7</v>
      </c>
      <c r="C22" t="s">
        <v>6</v>
      </c>
      <c r="D22">
        <v>9885</v>
      </c>
      <c r="E22">
        <v>5879759</v>
      </c>
      <c r="F22">
        <v>168265</v>
      </c>
      <c r="G22">
        <v>1924761</v>
      </c>
      <c r="H22">
        <v>1924761</v>
      </c>
      <c r="I22">
        <v>3954998</v>
      </c>
      <c r="J22">
        <v>0</v>
      </c>
      <c r="K22">
        <v>21975</v>
      </c>
      <c r="L22">
        <v>21975</v>
      </c>
      <c r="M22">
        <v>1</v>
      </c>
      <c r="N22">
        <v>28</v>
      </c>
      <c r="O22">
        <v>5552</v>
      </c>
      <c r="P22">
        <v>4783</v>
      </c>
      <c r="Q22">
        <v>8872</v>
      </c>
      <c r="R22">
        <v>2737</v>
      </c>
      <c r="S22">
        <v>2</v>
      </c>
      <c r="T22">
        <v>0</v>
      </c>
      <c r="U22">
        <v>0</v>
      </c>
      <c r="V22">
        <v>86721</v>
      </c>
      <c r="W22">
        <v>63124</v>
      </c>
      <c r="X22">
        <v>63267</v>
      </c>
      <c r="Y22">
        <v>497518</v>
      </c>
      <c r="Z22">
        <v>148968</v>
      </c>
      <c r="AA22">
        <v>212969</v>
      </c>
      <c r="AB22">
        <v>213255</v>
      </c>
      <c r="AC22">
        <v>448871</v>
      </c>
      <c r="AD22">
        <v>276108</v>
      </c>
      <c r="AE22">
        <v>120418</v>
      </c>
      <c r="AF22">
        <v>197788</v>
      </c>
    </row>
    <row r="23" spans="1:32" x14ac:dyDescent="0.2">
      <c r="A23" t="s">
        <v>8</v>
      </c>
      <c r="B23" t="s">
        <v>7</v>
      </c>
      <c r="C23" t="s">
        <v>6</v>
      </c>
      <c r="D23" t="s">
        <v>5</v>
      </c>
      <c r="E23">
        <v>14486018</v>
      </c>
      <c r="F23">
        <v>1660</v>
      </c>
      <c r="G23">
        <v>105267323</v>
      </c>
      <c r="H23">
        <v>28459133</v>
      </c>
      <c r="I23">
        <v>190807055</v>
      </c>
      <c r="J23">
        <v>8132000</v>
      </c>
      <c r="K23">
        <v>468989</v>
      </c>
      <c r="L23">
        <v>498212</v>
      </c>
      <c r="M23">
        <v>79</v>
      </c>
      <c r="N23">
        <v>122058</v>
      </c>
      <c r="O23">
        <v>74221</v>
      </c>
      <c r="P23">
        <v>87310</v>
      </c>
      <c r="Q23">
        <v>102385</v>
      </c>
      <c r="R23">
        <v>46675</v>
      </c>
      <c r="S23">
        <v>37</v>
      </c>
      <c r="T23">
        <v>65444</v>
      </c>
      <c r="U23">
        <v>76808190</v>
      </c>
      <c r="V23">
        <v>1213426</v>
      </c>
      <c r="W23">
        <v>698892</v>
      </c>
      <c r="X23">
        <v>853313</v>
      </c>
      <c r="Y23">
        <v>9805274</v>
      </c>
      <c r="Z23">
        <v>2178428</v>
      </c>
      <c r="AA23">
        <v>2611210</v>
      </c>
      <c r="AB23">
        <v>2920052</v>
      </c>
      <c r="AC23">
        <v>4958880</v>
      </c>
      <c r="AD23">
        <v>3623724</v>
      </c>
      <c r="AE23">
        <v>1780137</v>
      </c>
      <c r="AF23">
        <v>2848636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19CE-CCC9-8041-91FE-8B3B1948AE95}">
  <dimension ref="A1:AF23"/>
  <sheetViews>
    <sheetView workbookViewId="0">
      <selection activeCell="N4" sqref="N4:N23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56</v>
      </c>
    </row>
    <row r="3" spans="1:32" x14ac:dyDescent="0.2">
      <c r="A3" t="s">
        <v>39</v>
      </c>
      <c r="B3" t="s">
        <v>38</v>
      </c>
      <c r="C3" t="s">
        <v>37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138314</v>
      </c>
      <c r="F5">
        <v>1770</v>
      </c>
      <c r="G5">
        <v>21639</v>
      </c>
      <c r="H5">
        <v>21639</v>
      </c>
      <c r="I5">
        <v>116675</v>
      </c>
      <c r="J5">
        <v>0</v>
      </c>
      <c r="K5">
        <v>9</v>
      </c>
      <c r="L5">
        <v>9</v>
      </c>
      <c r="M5">
        <v>0</v>
      </c>
      <c r="N5">
        <v>0</v>
      </c>
      <c r="O5">
        <v>0</v>
      </c>
      <c r="P5">
        <v>3</v>
      </c>
      <c r="Q5">
        <v>6</v>
      </c>
      <c r="R5">
        <v>0</v>
      </c>
      <c r="S5">
        <v>0</v>
      </c>
      <c r="T5">
        <v>0</v>
      </c>
      <c r="U5">
        <v>0</v>
      </c>
      <c r="V5">
        <v>305</v>
      </c>
      <c r="W5">
        <v>277</v>
      </c>
      <c r="X5">
        <v>253</v>
      </c>
      <c r="Y5">
        <v>13926</v>
      </c>
      <c r="Z5">
        <v>941</v>
      </c>
      <c r="AA5">
        <v>859</v>
      </c>
      <c r="AB5">
        <v>811</v>
      </c>
      <c r="AC5">
        <v>3037</v>
      </c>
      <c r="AD5">
        <v>1201</v>
      </c>
      <c r="AE5">
        <v>462</v>
      </c>
      <c r="AF5">
        <v>1228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145215</v>
      </c>
      <c r="F6">
        <v>1502</v>
      </c>
      <c r="G6">
        <v>53131</v>
      </c>
      <c r="H6">
        <v>53131</v>
      </c>
      <c r="I6">
        <v>92084</v>
      </c>
      <c r="J6">
        <v>0</v>
      </c>
      <c r="K6">
        <v>243</v>
      </c>
      <c r="L6">
        <v>243</v>
      </c>
      <c r="M6">
        <v>0</v>
      </c>
      <c r="N6">
        <v>1</v>
      </c>
      <c r="O6">
        <v>78</v>
      </c>
      <c r="P6">
        <v>56</v>
      </c>
      <c r="Q6">
        <v>69</v>
      </c>
      <c r="R6">
        <v>39</v>
      </c>
      <c r="S6">
        <v>0</v>
      </c>
      <c r="T6">
        <v>0</v>
      </c>
      <c r="U6">
        <v>0</v>
      </c>
      <c r="V6">
        <v>2771</v>
      </c>
      <c r="W6">
        <v>1643</v>
      </c>
      <c r="X6">
        <v>2002</v>
      </c>
      <c r="Y6">
        <v>13104</v>
      </c>
      <c r="Z6">
        <v>3890</v>
      </c>
      <c r="AA6">
        <v>6057</v>
      </c>
      <c r="AB6">
        <v>6775</v>
      </c>
      <c r="AC6">
        <v>11710</v>
      </c>
      <c r="AD6">
        <v>8276</v>
      </c>
      <c r="AE6">
        <v>3497</v>
      </c>
      <c r="AF6">
        <v>5995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138899</v>
      </c>
      <c r="F7">
        <v>1371</v>
      </c>
      <c r="G7">
        <v>37243</v>
      </c>
      <c r="H7">
        <v>37243</v>
      </c>
      <c r="I7">
        <v>101656</v>
      </c>
      <c r="J7">
        <v>0</v>
      </c>
      <c r="K7">
        <v>240</v>
      </c>
      <c r="L7">
        <v>240</v>
      </c>
      <c r="M7">
        <v>0</v>
      </c>
      <c r="N7">
        <v>1</v>
      </c>
      <c r="O7">
        <v>42</v>
      </c>
      <c r="P7">
        <v>55</v>
      </c>
      <c r="Q7">
        <v>135</v>
      </c>
      <c r="R7">
        <v>7</v>
      </c>
      <c r="S7">
        <v>0</v>
      </c>
      <c r="T7">
        <v>0</v>
      </c>
      <c r="U7">
        <v>0</v>
      </c>
      <c r="V7">
        <v>903</v>
      </c>
      <c r="W7">
        <v>674</v>
      </c>
      <c r="X7">
        <v>663</v>
      </c>
      <c r="Y7">
        <v>12578</v>
      </c>
      <c r="Z7">
        <v>4541</v>
      </c>
      <c r="AA7">
        <v>2251</v>
      </c>
      <c r="AB7">
        <v>2229</v>
      </c>
      <c r="AC7">
        <v>7486</v>
      </c>
      <c r="AD7">
        <v>5083</v>
      </c>
      <c r="AE7">
        <v>1862</v>
      </c>
      <c r="AF7">
        <v>3213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152472</v>
      </c>
      <c r="F8">
        <v>453</v>
      </c>
      <c r="G8">
        <v>158182</v>
      </c>
      <c r="H8">
        <v>149465</v>
      </c>
      <c r="I8">
        <v>294994</v>
      </c>
      <c r="J8">
        <v>4240</v>
      </c>
      <c r="K8">
        <v>10209</v>
      </c>
      <c r="L8">
        <v>10226</v>
      </c>
      <c r="M8">
        <v>0</v>
      </c>
      <c r="N8">
        <v>3506</v>
      </c>
      <c r="O8">
        <v>1296</v>
      </c>
      <c r="P8">
        <v>1368</v>
      </c>
      <c r="Q8">
        <v>1394</v>
      </c>
      <c r="R8">
        <v>870</v>
      </c>
      <c r="S8">
        <v>0</v>
      </c>
      <c r="T8">
        <v>1792</v>
      </c>
      <c r="U8">
        <v>8717</v>
      </c>
      <c r="V8">
        <v>8601</v>
      </c>
      <c r="W8">
        <v>4472</v>
      </c>
      <c r="X8">
        <v>5095</v>
      </c>
      <c r="Y8">
        <v>35953</v>
      </c>
      <c r="Z8">
        <v>10121</v>
      </c>
      <c r="AA8">
        <v>17545</v>
      </c>
      <c r="AB8">
        <v>18791</v>
      </c>
      <c r="AC8">
        <v>26750</v>
      </c>
      <c r="AD8">
        <v>20976</v>
      </c>
      <c r="AE8">
        <v>11423</v>
      </c>
      <c r="AF8">
        <v>15848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139224</v>
      </c>
      <c r="F9">
        <v>1295</v>
      </c>
      <c r="G9">
        <v>46337</v>
      </c>
      <c r="H9">
        <v>46337</v>
      </c>
      <c r="I9">
        <v>92887</v>
      </c>
      <c r="J9">
        <v>0</v>
      </c>
      <c r="K9">
        <v>198</v>
      </c>
      <c r="L9">
        <v>198</v>
      </c>
      <c r="M9">
        <v>0</v>
      </c>
      <c r="N9">
        <v>0</v>
      </c>
      <c r="O9">
        <v>39</v>
      </c>
      <c r="P9">
        <v>58</v>
      </c>
      <c r="Q9">
        <v>71</v>
      </c>
      <c r="R9">
        <v>30</v>
      </c>
      <c r="S9">
        <v>0</v>
      </c>
      <c r="T9">
        <v>0</v>
      </c>
      <c r="U9">
        <v>0</v>
      </c>
      <c r="V9">
        <v>1914</v>
      </c>
      <c r="W9">
        <v>1045</v>
      </c>
      <c r="X9">
        <v>1464</v>
      </c>
      <c r="Y9">
        <v>13134</v>
      </c>
      <c r="Z9">
        <v>4259</v>
      </c>
      <c r="AA9">
        <v>4004</v>
      </c>
      <c r="AB9">
        <v>4842</v>
      </c>
      <c r="AC9">
        <v>8877</v>
      </c>
      <c r="AD9">
        <v>7213</v>
      </c>
      <c r="AE9">
        <v>3279</v>
      </c>
      <c r="AF9">
        <v>4954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140345</v>
      </c>
      <c r="F10">
        <v>1398</v>
      </c>
      <c r="G10">
        <v>13589</v>
      </c>
      <c r="H10">
        <v>13589</v>
      </c>
      <c r="I10">
        <v>126756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30</v>
      </c>
      <c r="W10">
        <v>22</v>
      </c>
      <c r="X10">
        <v>29</v>
      </c>
      <c r="Y10">
        <v>12453</v>
      </c>
      <c r="Z10">
        <v>170</v>
      </c>
      <c r="AA10">
        <v>74</v>
      </c>
      <c r="AB10">
        <v>88</v>
      </c>
      <c r="AC10">
        <v>494</v>
      </c>
      <c r="AD10">
        <v>144</v>
      </c>
      <c r="AE10">
        <v>47</v>
      </c>
      <c r="AF10">
        <v>199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140220</v>
      </c>
      <c r="F11">
        <v>1385</v>
      </c>
      <c r="G11">
        <v>13818</v>
      </c>
      <c r="H11">
        <v>13818</v>
      </c>
      <c r="I11">
        <v>126402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37</v>
      </c>
      <c r="W11">
        <v>21</v>
      </c>
      <c r="X11">
        <v>19</v>
      </c>
      <c r="Y11">
        <v>12732</v>
      </c>
      <c r="Z11">
        <v>161</v>
      </c>
      <c r="AA11">
        <v>79</v>
      </c>
      <c r="AB11">
        <v>75</v>
      </c>
      <c r="AC11">
        <v>479</v>
      </c>
      <c r="AD11">
        <v>163</v>
      </c>
      <c r="AE11">
        <v>65</v>
      </c>
      <c r="AF11">
        <v>141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139297</v>
      </c>
      <c r="F12">
        <v>1613</v>
      </c>
      <c r="G12">
        <v>48775</v>
      </c>
      <c r="H12">
        <v>48775</v>
      </c>
      <c r="I12">
        <v>90522</v>
      </c>
      <c r="J12">
        <v>0</v>
      </c>
      <c r="K12">
        <v>2</v>
      </c>
      <c r="L12">
        <v>2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2799</v>
      </c>
      <c r="W12">
        <v>1293</v>
      </c>
      <c r="X12">
        <v>1774</v>
      </c>
      <c r="Y12">
        <v>13021</v>
      </c>
      <c r="Z12">
        <v>4371</v>
      </c>
      <c r="AA12">
        <v>5385</v>
      </c>
      <c r="AB12">
        <v>6347</v>
      </c>
      <c r="AC12">
        <v>8278</v>
      </c>
      <c r="AD12">
        <v>7933</v>
      </c>
      <c r="AE12">
        <v>3670</v>
      </c>
      <c r="AF12">
        <v>5634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145133</v>
      </c>
      <c r="F13">
        <v>1720</v>
      </c>
      <c r="G13">
        <v>49722</v>
      </c>
      <c r="H13">
        <v>49722</v>
      </c>
      <c r="I13">
        <v>95411</v>
      </c>
      <c r="J13">
        <v>0</v>
      </c>
      <c r="K13">
        <v>213</v>
      </c>
      <c r="L13">
        <v>213</v>
      </c>
      <c r="M13">
        <v>0</v>
      </c>
      <c r="N13">
        <v>2</v>
      </c>
      <c r="O13">
        <v>56</v>
      </c>
      <c r="P13">
        <v>72</v>
      </c>
      <c r="Q13">
        <v>69</v>
      </c>
      <c r="R13">
        <v>14</v>
      </c>
      <c r="S13">
        <v>0</v>
      </c>
      <c r="T13">
        <v>0</v>
      </c>
      <c r="U13">
        <v>0</v>
      </c>
      <c r="V13">
        <v>1969</v>
      </c>
      <c r="W13">
        <v>1240</v>
      </c>
      <c r="X13">
        <v>1496</v>
      </c>
      <c r="Y13">
        <v>13479</v>
      </c>
      <c r="Z13">
        <v>5160</v>
      </c>
      <c r="AA13">
        <v>4449</v>
      </c>
      <c r="AB13">
        <v>4961</v>
      </c>
      <c r="AC13">
        <v>10041</v>
      </c>
      <c r="AD13">
        <v>7462</v>
      </c>
      <c r="AE13">
        <v>3185</v>
      </c>
      <c r="AF13">
        <v>5477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104057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139224</v>
      </c>
      <c r="F15">
        <v>1592</v>
      </c>
      <c r="G15">
        <v>50373</v>
      </c>
      <c r="H15">
        <v>50373</v>
      </c>
      <c r="I15">
        <v>88851</v>
      </c>
      <c r="J15">
        <v>0</v>
      </c>
      <c r="K15">
        <v>127</v>
      </c>
      <c r="L15">
        <v>127</v>
      </c>
      <c r="M15">
        <v>0</v>
      </c>
      <c r="N15">
        <v>1</v>
      </c>
      <c r="O15">
        <v>34</v>
      </c>
      <c r="P15">
        <v>35</v>
      </c>
      <c r="Q15">
        <v>42</v>
      </c>
      <c r="R15">
        <v>15</v>
      </c>
      <c r="S15">
        <v>0</v>
      </c>
      <c r="T15">
        <v>0</v>
      </c>
      <c r="U15">
        <v>0</v>
      </c>
      <c r="V15">
        <v>2952</v>
      </c>
      <c r="W15">
        <v>1409</v>
      </c>
      <c r="X15">
        <v>2042</v>
      </c>
      <c r="Y15">
        <v>13054</v>
      </c>
      <c r="Z15">
        <v>3947</v>
      </c>
      <c r="AA15">
        <v>5770</v>
      </c>
      <c r="AB15">
        <v>7036</v>
      </c>
      <c r="AC15">
        <v>9025</v>
      </c>
      <c r="AD15">
        <v>8049</v>
      </c>
      <c r="AE15">
        <v>4153</v>
      </c>
      <c r="AF15">
        <v>5615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139036</v>
      </c>
      <c r="F16">
        <v>1573</v>
      </c>
      <c r="G16">
        <v>43740</v>
      </c>
      <c r="H16">
        <v>43740</v>
      </c>
      <c r="I16">
        <v>95296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1399</v>
      </c>
      <c r="W16">
        <v>1525</v>
      </c>
      <c r="X16">
        <v>1437</v>
      </c>
      <c r="Y16">
        <v>12866</v>
      </c>
      <c r="Z16">
        <v>2586</v>
      </c>
      <c r="AA16">
        <v>4449</v>
      </c>
      <c r="AB16">
        <v>4273</v>
      </c>
      <c r="AC16">
        <v>11636</v>
      </c>
      <c r="AD16">
        <v>5015</v>
      </c>
      <c r="AE16">
        <v>2168</v>
      </c>
      <c r="AF16">
        <v>5107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139445</v>
      </c>
      <c r="F17">
        <v>1616</v>
      </c>
      <c r="G17">
        <v>11997</v>
      </c>
      <c r="H17">
        <v>11997</v>
      </c>
      <c r="I17">
        <v>127448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>
        <v>13</v>
      </c>
      <c r="X17">
        <v>7</v>
      </c>
      <c r="Y17">
        <v>11402</v>
      </c>
      <c r="Z17">
        <v>110</v>
      </c>
      <c r="AA17">
        <v>36</v>
      </c>
      <c r="AB17">
        <v>24</v>
      </c>
      <c r="AC17">
        <v>268</v>
      </c>
      <c r="AD17">
        <v>56</v>
      </c>
      <c r="AE17">
        <v>27</v>
      </c>
      <c r="AF17">
        <v>104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141760</v>
      </c>
      <c r="F18">
        <v>1041</v>
      </c>
      <c r="G18">
        <v>22589</v>
      </c>
      <c r="H18">
        <v>22581</v>
      </c>
      <c r="I18">
        <v>257888</v>
      </c>
      <c r="J18">
        <v>3043</v>
      </c>
      <c r="K18">
        <v>20</v>
      </c>
      <c r="L18">
        <v>20</v>
      </c>
      <c r="M18">
        <v>0</v>
      </c>
      <c r="N18">
        <v>0</v>
      </c>
      <c r="O18">
        <v>0</v>
      </c>
      <c r="P18">
        <v>7</v>
      </c>
      <c r="Q18">
        <v>13</v>
      </c>
      <c r="R18">
        <v>0</v>
      </c>
      <c r="S18">
        <v>0</v>
      </c>
      <c r="T18">
        <v>0</v>
      </c>
      <c r="U18">
        <v>8</v>
      </c>
      <c r="V18">
        <v>18</v>
      </c>
      <c r="W18">
        <v>13</v>
      </c>
      <c r="X18">
        <v>15</v>
      </c>
      <c r="Y18">
        <v>21998</v>
      </c>
      <c r="Z18">
        <v>70</v>
      </c>
      <c r="AA18">
        <v>44</v>
      </c>
      <c r="AB18">
        <v>48</v>
      </c>
      <c r="AC18">
        <v>243</v>
      </c>
      <c r="AD18">
        <v>50</v>
      </c>
      <c r="AE18">
        <v>20</v>
      </c>
      <c r="AF18">
        <v>134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142475</v>
      </c>
      <c r="F19">
        <v>2686</v>
      </c>
      <c r="G19">
        <v>11087</v>
      </c>
      <c r="H19">
        <v>11087</v>
      </c>
      <c r="I19">
        <v>131388</v>
      </c>
      <c r="J19">
        <v>0</v>
      </c>
      <c r="K19">
        <v>4</v>
      </c>
      <c r="L19">
        <v>4</v>
      </c>
      <c r="M19">
        <v>0</v>
      </c>
      <c r="N19">
        <v>0</v>
      </c>
      <c r="O19">
        <v>0</v>
      </c>
      <c r="P19">
        <v>3</v>
      </c>
      <c r="Q19">
        <v>1</v>
      </c>
      <c r="R19">
        <v>0</v>
      </c>
      <c r="S19">
        <v>0</v>
      </c>
      <c r="T19">
        <v>0</v>
      </c>
      <c r="U19">
        <v>0</v>
      </c>
      <c r="V19">
        <v>6</v>
      </c>
      <c r="W19">
        <v>12</v>
      </c>
      <c r="X19">
        <v>7</v>
      </c>
      <c r="Y19">
        <v>10492</v>
      </c>
      <c r="Z19">
        <v>48</v>
      </c>
      <c r="AA19">
        <v>30</v>
      </c>
      <c r="AB19">
        <v>20</v>
      </c>
      <c r="AC19">
        <v>357</v>
      </c>
      <c r="AD19">
        <v>43</v>
      </c>
      <c r="AE19">
        <v>9</v>
      </c>
      <c r="AF19">
        <v>109</v>
      </c>
    </row>
    <row r="20" spans="1:32" x14ac:dyDescent="0.2">
      <c r="A20" t="s">
        <v>8</v>
      </c>
      <c r="B20" t="s">
        <v>7</v>
      </c>
      <c r="C20" t="s">
        <v>6</v>
      </c>
      <c r="D20">
        <v>8718</v>
      </c>
      <c r="E20">
        <v>140297</v>
      </c>
      <c r="F20">
        <v>638</v>
      </c>
      <c r="G20">
        <v>100902</v>
      </c>
      <c r="H20">
        <v>100883</v>
      </c>
      <c r="I20">
        <v>177644</v>
      </c>
      <c r="J20">
        <v>2048</v>
      </c>
      <c r="K20">
        <v>2</v>
      </c>
      <c r="L20">
        <v>3</v>
      </c>
      <c r="M20">
        <v>0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19</v>
      </c>
      <c r="V20">
        <v>5757</v>
      </c>
      <c r="W20">
        <v>2689</v>
      </c>
      <c r="X20">
        <v>3646</v>
      </c>
      <c r="Y20">
        <v>26810</v>
      </c>
      <c r="Z20">
        <v>8687</v>
      </c>
      <c r="AA20">
        <v>11135</v>
      </c>
      <c r="AB20">
        <v>13049</v>
      </c>
      <c r="AC20">
        <v>16765</v>
      </c>
      <c r="AD20">
        <v>16870</v>
      </c>
      <c r="AE20">
        <v>8249</v>
      </c>
      <c r="AF20">
        <v>11407</v>
      </c>
    </row>
    <row r="21" spans="1:32" x14ac:dyDescent="0.2">
      <c r="A21" t="s">
        <v>8</v>
      </c>
      <c r="B21" t="s">
        <v>7</v>
      </c>
      <c r="C21" t="s">
        <v>6</v>
      </c>
      <c r="D21">
        <v>9009</v>
      </c>
      <c r="E21">
        <v>139219</v>
      </c>
      <c r="F21">
        <v>1504</v>
      </c>
      <c r="G21">
        <v>50365</v>
      </c>
      <c r="H21">
        <v>50365</v>
      </c>
      <c r="I21">
        <v>88854</v>
      </c>
      <c r="J21">
        <v>0</v>
      </c>
      <c r="K21">
        <v>6</v>
      </c>
      <c r="L21">
        <v>6</v>
      </c>
      <c r="M21">
        <v>0</v>
      </c>
      <c r="N21">
        <v>1</v>
      </c>
      <c r="O21">
        <v>2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3116</v>
      </c>
      <c r="W21">
        <v>1475</v>
      </c>
      <c r="X21">
        <v>2080</v>
      </c>
      <c r="Y21">
        <v>12914</v>
      </c>
      <c r="Z21">
        <v>4169</v>
      </c>
      <c r="AA21">
        <v>6066</v>
      </c>
      <c r="AB21">
        <v>7276</v>
      </c>
      <c r="AC21">
        <v>8239</v>
      </c>
      <c r="AD21">
        <v>8198</v>
      </c>
      <c r="AE21">
        <v>4361</v>
      </c>
      <c r="AF21">
        <v>5807</v>
      </c>
    </row>
    <row r="22" spans="1:32" x14ac:dyDescent="0.2">
      <c r="A22" t="s">
        <v>8</v>
      </c>
      <c r="B22" t="s">
        <v>7</v>
      </c>
      <c r="C22" t="s">
        <v>6</v>
      </c>
      <c r="D22">
        <v>9885</v>
      </c>
      <c r="E22">
        <v>140289</v>
      </c>
      <c r="F22">
        <v>1540</v>
      </c>
      <c r="G22">
        <v>53702</v>
      </c>
      <c r="H22">
        <v>53702</v>
      </c>
      <c r="I22">
        <v>86587</v>
      </c>
      <c r="J22">
        <v>0</v>
      </c>
      <c r="K22">
        <v>285</v>
      </c>
      <c r="L22">
        <v>285</v>
      </c>
      <c r="M22">
        <v>0</v>
      </c>
      <c r="N22">
        <v>1</v>
      </c>
      <c r="O22">
        <v>55</v>
      </c>
      <c r="P22">
        <v>65</v>
      </c>
      <c r="Q22">
        <v>121</v>
      </c>
      <c r="R22">
        <v>43</v>
      </c>
      <c r="S22">
        <v>0</v>
      </c>
      <c r="T22">
        <v>0</v>
      </c>
      <c r="U22">
        <v>0</v>
      </c>
      <c r="V22">
        <v>2565</v>
      </c>
      <c r="W22">
        <v>1796</v>
      </c>
      <c r="X22">
        <v>1788</v>
      </c>
      <c r="Y22">
        <v>13215</v>
      </c>
      <c r="Z22">
        <v>4348</v>
      </c>
      <c r="AA22">
        <v>6157</v>
      </c>
      <c r="AB22">
        <v>6141</v>
      </c>
      <c r="AC22">
        <v>12279</v>
      </c>
      <c r="AD22">
        <v>8423</v>
      </c>
      <c r="AE22">
        <v>3580</v>
      </c>
      <c r="AF22">
        <v>5423</v>
      </c>
    </row>
    <row r="23" spans="1:32" x14ac:dyDescent="0.2">
      <c r="A23" t="s">
        <v>8</v>
      </c>
      <c r="B23" t="s">
        <v>7</v>
      </c>
      <c r="C23" t="s">
        <v>6</v>
      </c>
      <c r="D23" t="s">
        <v>5</v>
      </c>
      <c r="E23">
        <v>372862</v>
      </c>
      <c r="F23">
        <v>12</v>
      </c>
      <c r="G23">
        <v>2966003</v>
      </c>
      <c r="H23">
        <v>770238</v>
      </c>
      <c r="I23">
        <v>4791743</v>
      </c>
      <c r="J23">
        <v>72356</v>
      </c>
      <c r="K23">
        <v>11128</v>
      </c>
      <c r="L23">
        <v>11480</v>
      </c>
      <c r="M23">
        <v>0</v>
      </c>
      <c r="N23">
        <v>3473</v>
      </c>
      <c r="O23">
        <v>1589</v>
      </c>
      <c r="P23">
        <v>1717</v>
      </c>
      <c r="Q23">
        <v>1913</v>
      </c>
      <c r="R23">
        <v>1009</v>
      </c>
      <c r="S23">
        <v>0</v>
      </c>
      <c r="T23">
        <v>1779</v>
      </c>
      <c r="U23">
        <v>2195765</v>
      </c>
      <c r="V23">
        <v>34551</v>
      </c>
      <c r="W23">
        <v>19301</v>
      </c>
      <c r="X23">
        <v>23561</v>
      </c>
      <c r="Y23">
        <v>261334</v>
      </c>
      <c r="Z23">
        <v>57010</v>
      </c>
      <c r="AA23">
        <v>73153</v>
      </c>
      <c r="AB23">
        <v>81673</v>
      </c>
      <c r="AC23">
        <v>134106</v>
      </c>
      <c r="AD23">
        <v>103653</v>
      </c>
      <c r="AE23">
        <v>49492</v>
      </c>
      <c r="AF23">
        <v>75746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B622-5BF5-9545-93E8-A3DAD42FF670}">
  <dimension ref="A2:AK27"/>
  <sheetViews>
    <sheetView workbookViewId="0">
      <selection activeCell="O25" sqref="O25"/>
    </sheetView>
  </sheetViews>
  <sheetFormatPr baseColWidth="10" defaultRowHeight="16" x14ac:dyDescent="0.2"/>
  <cols>
    <col min="1" max="1" width="7.83203125" bestFit="1" customWidth="1"/>
    <col min="2" max="2" width="10.1640625" bestFit="1" customWidth="1"/>
    <col min="3" max="3" width="14" bestFit="1" customWidth="1"/>
    <col min="4" max="4" width="10.5" bestFit="1" customWidth="1"/>
    <col min="5" max="7" width="10.5" customWidth="1"/>
    <col min="8" max="8" width="10.1640625" bestFit="1" customWidth="1"/>
    <col min="9" max="9" width="11.1640625" bestFit="1" customWidth="1"/>
    <col min="10" max="10" width="10.1640625" bestFit="1" customWidth="1"/>
    <col min="11" max="11" width="14" bestFit="1" customWidth="1"/>
    <col min="12" max="12" width="10.5" bestFit="1" customWidth="1"/>
  </cols>
  <sheetData>
    <row r="2" spans="1:37" x14ac:dyDescent="0.2">
      <c r="A2" s="2"/>
      <c r="B2" s="30" t="s">
        <v>45</v>
      </c>
      <c r="C2" s="30"/>
      <c r="D2" s="30"/>
      <c r="E2" s="30"/>
      <c r="F2" s="30"/>
      <c r="G2" s="30"/>
      <c r="H2" s="34" t="s">
        <v>48</v>
      </c>
      <c r="I2" s="34"/>
      <c r="J2" s="34"/>
      <c r="K2" s="34"/>
      <c r="L2" s="34"/>
      <c r="M2" s="34"/>
      <c r="N2" s="35" t="s">
        <v>49</v>
      </c>
      <c r="O2" s="36"/>
      <c r="P2" s="36"/>
      <c r="Q2" s="36"/>
      <c r="R2" s="36"/>
      <c r="S2" s="37"/>
      <c r="T2" s="31" t="s">
        <v>46</v>
      </c>
      <c r="U2" s="31"/>
      <c r="V2" s="31"/>
      <c r="W2" s="31"/>
      <c r="X2" s="31"/>
      <c r="Y2" s="31"/>
      <c r="Z2" s="33" t="s">
        <v>47</v>
      </c>
      <c r="AA2" s="33"/>
      <c r="AB2" s="33"/>
      <c r="AC2" s="33"/>
      <c r="AD2" s="33"/>
      <c r="AE2" s="33"/>
      <c r="AF2" s="32" t="s">
        <v>50</v>
      </c>
      <c r="AG2" s="32"/>
      <c r="AH2" s="32"/>
      <c r="AI2" s="32"/>
      <c r="AJ2" s="32"/>
      <c r="AK2" s="32"/>
    </row>
    <row r="3" spans="1:37" x14ac:dyDescent="0.2">
      <c r="A3" s="16" t="s">
        <v>43</v>
      </c>
      <c r="B3" s="4" t="s">
        <v>33</v>
      </c>
      <c r="C3" s="4" t="s">
        <v>31</v>
      </c>
      <c r="D3" s="4" t="s">
        <v>0</v>
      </c>
      <c r="E3" s="4" t="s">
        <v>1</v>
      </c>
      <c r="F3" s="4" t="s">
        <v>2</v>
      </c>
      <c r="G3" s="4" t="s">
        <v>44</v>
      </c>
      <c r="H3" s="13" t="s">
        <v>33</v>
      </c>
      <c r="I3" s="13" t="s">
        <v>31</v>
      </c>
      <c r="J3" s="13" t="s">
        <v>0</v>
      </c>
      <c r="K3" s="13" t="s">
        <v>1</v>
      </c>
      <c r="L3" s="13" t="s">
        <v>2</v>
      </c>
      <c r="M3" s="13" t="s">
        <v>44</v>
      </c>
      <c r="N3" s="17" t="s">
        <v>33</v>
      </c>
      <c r="O3" s="17" t="s">
        <v>31</v>
      </c>
      <c r="P3" s="17" t="s">
        <v>0</v>
      </c>
      <c r="Q3" s="17" t="s">
        <v>1</v>
      </c>
      <c r="R3" s="17" t="s">
        <v>2</v>
      </c>
      <c r="S3" s="17" t="s">
        <v>44</v>
      </c>
      <c r="T3" s="5" t="s">
        <v>33</v>
      </c>
      <c r="U3" s="5" t="s">
        <v>31</v>
      </c>
      <c r="V3" s="5" t="s">
        <v>0</v>
      </c>
      <c r="W3" s="5" t="s">
        <v>1</v>
      </c>
      <c r="X3" s="5" t="s">
        <v>2</v>
      </c>
      <c r="Y3" s="5" t="s">
        <v>44</v>
      </c>
      <c r="Z3" s="10" t="s">
        <v>33</v>
      </c>
      <c r="AA3" s="10" t="s">
        <v>31</v>
      </c>
      <c r="AB3" s="10" t="s">
        <v>0</v>
      </c>
      <c r="AC3" s="10" t="s">
        <v>1</v>
      </c>
      <c r="AD3" s="10" t="s">
        <v>2</v>
      </c>
      <c r="AE3" s="10" t="s">
        <v>44</v>
      </c>
      <c r="AF3" s="20" t="s">
        <v>33</v>
      </c>
      <c r="AG3" s="20" t="s">
        <v>31</v>
      </c>
      <c r="AH3" s="20" t="s">
        <v>0</v>
      </c>
      <c r="AI3" s="20" t="s">
        <v>1</v>
      </c>
      <c r="AJ3" s="20" t="s">
        <v>2</v>
      </c>
      <c r="AK3" s="20" t="s">
        <v>44</v>
      </c>
    </row>
    <row r="4" spans="1:37" x14ac:dyDescent="0.2">
      <c r="A4" s="3">
        <v>10105</v>
      </c>
      <c r="B4" s="6">
        <v>5803480</v>
      </c>
      <c r="C4" s="6">
        <v>898805</v>
      </c>
      <c r="D4" s="6">
        <v>4904675</v>
      </c>
      <c r="E4" s="6">
        <v>794</v>
      </c>
      <c r="F4" s="6">
        <v>794</v>
      </c>
      <c r="G4" s="9">
        <f>F4/C4</f>
        <v>8.833951747041906E-4</v>
      </c>
      <c r="H4" s="14">
        <v>138314</v>
      </c>
      <c r="I4" s="14">
        <v>21639</v>
      </c>
      <c r="J4" s="14">
        <v>116675</v>
      </c>
      <c r="K4" s="14">
        <v>9</v>
      </c>
      <c r="L4" s="14">
        <v>9</v>
      </c>
      <c r="M4" s="15">
        <f>L4/I4</f>
        <v>4.1591570774989601E-4</v>
      </c>
      <c r="N4" s="18">
        <v>5781598</v>
      </c>
      <c r="O4" s="18">
        <v>898805</v>
      </c>
      <c r="P4" s="18">
        <v>4882793</v>
      </c>
      <c r="Q4" s="18">
        <v>794</v>
      </c>
      <c r="R4" s="18">
        <v>794</v>
      </c>
      <c r="S4" s="19">
        <f>R4/O4</f>
        <v>8.833951747041906E-4</v>
      </c>
      <c r="T4" s="7">
        <v>6013318</v>
      </c>
      <c r="U4" s="7">
        <v>1203117</v>
      </c>
      <c r="V4" s="7">
        <v>4810201</v>
      </c>
      <c r="W4" s="7">
        <v>680</v>
      </c>
      <c r="X4" s="7">
        <v>680</v>
      </c>
      <c r="Y4" s="8">
        <f>X4/U4</f>
        <v>5.6519856339823978E-4</v>
      </c>
      <c r="Z4" s="12">
        <v>145710</v>
      </c>
      <c r="AA4" s="12">
        <v>28579</v>
      </c>
      <c r="AB4" s="12">
        <v>117131</v>
      </c>
      <c r="AC4" s="12">
        <v>26</v>
      </c>
      <c r="AD4" s="12">
        <v>26</v>
      </c>
      <c r="AE4" s="11">
        <f>AD4/AA4</f>
        <v>9.0975891388781968E-4</v>
      </c>
      <c r="AF4" s="21">
        <v>5980974</v>
      </c>
      <c r="AG4" s="21">
        <v>1203117</v>
      </c>
      <c r="AH4" s="21">
        <v>4777857</v>
      </c>
      <c r="AI4" s="21">
        <v>680</v>
      </c>
      <c r="AJ4" s="21">
        <v>680</v>
      </c>
      <c r="AK4" s="22">
        <f>AJ4/AG4</f>
        <v>5.6519856339823978E-4</v>
      </c>
    </row>
    <row r="5" spans="1:37" x14ac:dyDescent="0.2">
      <c r="A5" s="3">
        <v>11123</v>
      </c>
      <c r="B5" s="6">
        <v>6073153</v>
      </c>
      <c r="C5" s="6">
        <v>1959609</v>
      </c>
      <c r="D5" s="6">
        <v>4113544</v>
      </c>
      <c r="E5" s="6">
        <v>16282</v>
      </c>
      <c r="F5" s="6">
        <v>16282</v>
      </c>
      <c r="G5" s="9">
        <f t="shared" ref="G5:G19" si="0">F5/C5</f>
        <v>8.3088003780345983E-3</v>
      </c>
      <c r="H5" s="14">
        <v>145215</v>
      </c>
      <c r="I5" s="14">
        <v>53131</v>
      </c>
      <c r="J5" s="14">
        <v>92084</v>
      </c>
      <c r="K5" s="14">
        <v>243</v>
      </c>
      <c r="L5" s="14">
        <v>243</v>
      </c>
      <c r="M5" s="15">
        <f t="shared" ref="M5:M20" si="1">L5/I5</f>
        <v>4.5736010991699761E-3</v>
      </c>
      <c r="N5" s="18">
        <v>6052882</v>
      </c>
      <c r="O5" s="18">
        <v>1959609</v>
      </c>
      <c r="P5" s="18">
        <v>4093273</v>
      </c>
      <c r="Q5" s="18">
        <v>16282</v>
      </c>
      <c r="R5" s="18">
        <v>16282</v>
      </c>
      <c r="S5" s="19">
        <f t="shared" ref="S5:S20" si="2">R5/O5</f>
        <v>8.3088003780345983E-3</v>
      </c>
      <c r="T5" s="7">
        <v>6236180</v>
      </c>
      <c r="U5" s="7">
        <v>2217986</v>
      </c>
      <c r="V5" s="7">
        <v>4018194</v>
      </c>
      <c r="W5" s="7">
        <v>16362</v>
      </c>
      <c r="X5" s="7">
        <v>16362</v>
      </c>
      <c r="Y5" s="8">
        <f t="shared" ref="Y5:Y21" si="3">X5/U5</f>
        <v>7.37696270400264E-3</v>
      </c>
      <c r="Z5" s="12">
        <v>151585</v>
      </c>
      <c r="AA5" s="12">
        <v>58704</v>
      </c>
      <c r="AB5" s="12">
        <v>92881</v>
      </c>
      <c r="AC5" s="12">
        <v>245</v>
      </c>
      <c r="AD5" s="12">
        <v>245</v>
      </c>
      <c r="AE5" s="11">
        <f t="shared" ref="AE5:AE21" si="4">AD5/AA5</f>
        <v>4.173480512401199E-3</v>
      </c>
      <c r="AF5" s="21">
        <v>6206935</v>
      </c>
      <c r="AG5" s="21">
        <v>2217986</v>
      </c>
      <c r="AH5" s="21">
        <v>3988949</v>
      </c>
      <c r="AI5" s="21">
        <v>16362</v>
      </c>
      <c r="AJ5" s="21">
        <v>16362</v>
      </c>
      <c r="AK5" s="22">
        <f t="shared" ref="AK5:AK21" si="5">AJ5/AG5</f>
        <v>7.37696270400264E-3</v>
      </c>
    </row>
    <row r="6" spans="1:37" x14ac:dyDescent="0.2">
      <c r="A6" s="3">
        <v>11308</v>
      </c>
      <c r="B6" s="6">
        <v>5849233</v>
      </c>
      <c r="C6" s="6">
        <v>1282980</v>
      </c>
      <c r="D6" s="6">
        <v>4566253</v>
      </c>
      <c r="E6" s="6">
        <v>17877</v>
      </c>
      <c r="F6" s="6">
        <v>17877</v>
      </c>
      <c r="G6" s="9">
        <f t="shared" si="0"/>
        <v>1.3933966234859468E-2</v>
      </c>
      <c r="H6" s="14">
        <v>138899</v>
      </c>
      <c r="I6" s="14">
        <v>37243</v>
      </c>
      <c r="J6" s="14">
        <v>101656</v>
      </c>
      <c r="K6" s="14">
        <v>240</v>
      </c>
      <c r="L6" s="14">
        <v>240</v>
      </c>
      <c r="M6" s="15">
        <f t="shared" si="1"/>
        <v>6.4441640039739016E-3</v>
      </c>
      <c r="N6" s="18">
        <v>5825557</v>
      </c>
      <c r="O6" s="18">
        <v>1282980</v>
      </c>
      <c r="P6" s="18">
        <v>4542577</v>
      </c>
      <c r="Q6" s="18">
        <v>17877</v>
      </c>
      <c r="R6" s="18">
        <v>17877</v>
      </c>
      <c r="S6" s="19">
        <f t="shared" si="2"/>
        <v>1.3933966234859468E-2</v>
      </c>
      <c r="T6" s="7">
        <v>6053829</v>
      </c>
      <c r="U6" s="7">
        <v>1544634</v>
      </c>
      <c r="V6" s="7">
        <v>4509195</v>
      </c>
      <c r="W6" s="7">
        <v>17958</v>
      </c>
      <c r="X6" s="7">
        <v>17958</v>
      </c>
      <c r="Y6" s="8">
        <f t="shared" si="3"/>
        <v>1.1626055104315974E-2</v>
      </c>
      <c r="Z6" s="12">
        <v>146682</v>
      </c>
      <c r="AA6" s="12">
        <v>43477</v>
      </c>
      <c r="AB6" s="12">
        <v>103205</v>
      </c>
      <c r="AC6" s="12">
        <v>244</v>
      </c>
      <c r="AD6" s="12">
        <v>244</v>
      </c>
      <c r="AE6" s="11">
        <f t="shared" si="4"/>
        <v>5.6121627527198287E-3</v>
      </c>
      <c r="AF6" s="21">
        <v>6021023</v>
      </c>
      <c r="AG6" s="21">
        <v>1544634</v>
      </c>
      <c r="AH6" s="21">
        <v>4476389</v>
      </c>
      <c r="AI6" s="21">
        <v>17958</v>
      </c>
      <c r="AJ6" s="21">
        <v>17958</v>
      </c>
      <c r="AK6" s="22">
        <f t="shared" si="5"/>
        <v>1.1626055104315974E-2</v>
      </c>
    </row>
    <row r="7" spans="1:37" x14ac:dyDescent="0.2">
      <c r="A7" s="3">
        <v>15043</v>
      </c>
      <c r="B7" s="6">
        <v>6526169</v>
      </c>
      <c r="C7" s="6">
        <v>5918718</v>
      </c>
      <c r="D7" s="6">
        <v>13233056</v>
      </c>
      <c r="E7" s="6">
        <v>394255</v>
      </c>
      <c r="F7" s="6">
        <v>396196</v>
      </c>
      <c r="G7" s="9">
        <f t="shared" si="0"/>
        <v>6.6939496019239306E-2</v>
      </c>
      <c r="H7" s="14">
        <v>152472</v>
      </c>
      <c r="I7" s="14">
        <v>158182</v>
      </c>
      <c r="J7" s="14">
        <v>294994</v>
      </c>
      <c r="K7" s="14">
        <v>10209</v>
      </c>
      <c r="L7" s="14">
        <v>10226</v>
      </c>
      <c r="M7" s="15">
        <f t="shared" si="1"/>
        <v>6.4647052129825133E-2</v>
      </c>
      <c r="N7" s="18">
        <v>6493746</v>
      </c>
      <c r="O7" s="18">
        <v>5918718</v>
      </c>
      <c r="P7" s="18">
        <v>13159402</v>
      </c>
      <c r="Q7" s="18">
        <v>394255</v>
      </c>
      <c r="R7" s="18">
        <v>396196</v>
      </c>
      <c r="S7" s="19">
        <f t="shared" si="2"/>
        <v>6.6939496019239306E-2</v>
      </c>
      <c r="T7" s="7">
        <v>6655477</v>
      </c>
      <c r="U7" s="7">
        <v>6752905</v>
      </c>
      <c r="V7" s="7">
        <v>12848791</v>
      </c>
      <c r="W7" s="7">
        <v>395402</v>
      </c>
      <c r="X7" s="7">
        <v>397394</v>
      </c>
      <c r="Y7" s="8">
        <f t="shared" si="3"/>
        <v>5.884785881039345E-2</v>
      </c>
      <c r="Z7" s="12">
        <v>160301</v>
      </c>
      <c r="AA7" s="12">
        <v>178809</v>
      </c>
      <c r="AB7" s="12">
        <v>297832</v>
      </c>
      <c r="AC7" s="12">
        <v>10465</v>
      </c>
      <c r="AD7" s="12">
        <v>10500</v>
      </c>
      <c r="AE7" s="11">
        <f t="shared" si="4"/>
        <v>5.8721876415616665E-2</v>
      </c>
      <c r="AF7" s="21">
        <v>6610094</v>
      </c>
      <c r="AG7" s="21">
        <v>6752905</v>
      </c>
      <c r="AH7" s="21">
        <v>12750455</v>
      </c>
      <c r="AI7" s="21">
        <v>395402</v>
      </c>
      <c r="AJ7" s="21">
        <v>397394</v>
      </c>
      <c r="AK7" s="22">
        <f t="shared" si="5"/>
        <v>5.884785881039345E-2</v>
      </c>
    </row>
    <row r="8" spans="1:37" x14ac:dyDescent="0.2">
      <c r="A8" s="3">
        <v>16337</v>
      </c>
      <c r="B8" s="6">
        <v>5890003</v>
      </c>
      <c r="C8" s="6">
        <v>1697437</v>
      </c>
      <c r="D8" s="6">
        <v>4192566</v>
      </c>
      <c r="E8" s="6">
        <v>14446</v>
      </c>
      <c r="F8" s="6">
        <v>14446</v>
      </c>
      <c r="G8" s="9">
        <f t="shared" si="0"/>
        <v>8.5104778557319061E-3</v>
      </c>
      <c r="H8" s="14">
        <v>139224</v>
      </c>
      <c r="I8" s="14">
        <v>46337</v>
      </c>
      <c r="J8" s="14">
        <v>92887</v>
      </c>
      <c r="K8" s="14">
        <v>198</v>
      </c>
      <c r="L8" s="14">
        <v>198</v>
      </c>
      <c r="M8" s="15">
        <f t="shared" si="1"/>
        <v>4.2730431404708977E-3</v>
      </c>
      <c r="N8" s="18">
        <v>5867976</v>
      </c>
      <c r="O8" s="18">
        <v>1697437</v>
      </c>
      <c r="P8" s="18">
        <v>4170539</v>
      </c>
      <c r="Q8" s="18">
        <v>14446</v>
      </c>
      <c r="R8" s="18">
        <v>14446</v>
      </c>
      <c r="S8" s="19">
        <f t="shared" si="2"/>
        <v>8.5104778557319061E-3</v>
      </c>
      <c r="T8" s="7">
        <v>6099655</v>
      </c>
      <c r="U8" s="7">
        <v>1989198</v>
      </c>
      <c r="V8" s="7">
        <v>4110457</v>
      </c>
      <c r="W8" s="7">
        <v>14794</v>
      </c>
      <c r="X8" s="7">
        <v>14794</v>
      </c>
      <c r="Y8" s="8">
        <f t="shared" si="3"/>
        <v>7.437168145151966E-3</v>
      </c>
      <c r="Z8" s="12">
        <v>147411</v>
      </c>
      <c r="AA8" s="12">
        <v>53434</v>
      </c>
      <c r="AB8" s="12">
        <v>93977</v>
      </c>
      <c r="AC8" s="12">
        <v>219</v>
      </c>
      <c r="AD8" s="12">
        <v>219</v>
      </c>
      <c r="AE8" s="11">
        <f t="shared" si="4"/>
        <v>4.0985140547217126E-3</v>
      </c>
      <c r="AF8" s="21">
        <v>6068506</v>
      </c>
      <c r="AG8" s="21">
        <v>1989198</v>
      </c>
      <c r="AH8" s="21">
        <v>4079308</v>
      </c>
      <c r="AI8" s="21">
        <v>14794</v>
      </c>
      <c r="AJ8" s="21">
        <v>14794</v>
      </c>
      <c r="AK8" s="22">
        <f t="shared" si="5"/>
        <v>7.437168145151966E-3</v>
      </c>
    </row>
    <row r="9" spans="1:37" x14ac:dyDescent="0.2">
      <c r="A9" s="3">
        <v>16566</v>
      </c>
      <c r="B9" s="6">
        <v>6011946</v>
      </c>
      <c r="C9" s="6">
        <v>1334178</v>
      </c>
      <c r="D9" s="6">
        <v>10488508</v>
      </c>
      <c r="E9" s="6">
        <v>254657</v>
      </c>
      <c r="F9" s="6">
        <v>254806</v>
      </c>
      <c r="G9" s="9">
        <f t="shared" si="0"/>
        <v>0.19098351194518273</v>
      </c>
      <c r="H9" s="14">
        <v>141587</v>
      </c>
      <c r="I9" s="14">
        <v>34167</v>
      </c>
      <c r="J9" s="14">
        <v>247082</v>
      </c>
      <c r="K9" s="14">
        <v>6236</v>
      </c>
      <c r="L9" s="14">
        <v>6236</v>
      </c>
      <c r="M9" s="15">
        <f t="shared" si="1"/>
        <v>0.18251529253373139</v>
      </c>
      <c r="N9" s="18">
        <v>5984405</v>
      </c>
      <c r="O9" s="18">
        <v>1334178</v>
      </c>
      <c r="P9" s="18">
        <v>10443998</v>
      </c>
      <c r="Q9" s="18">
        <v>254657</v>
      </c>
      <c r="R9" s="18">
        <v>254806</v>
      </c>
      <c r="S9" s="19">
        <f t="shared" si="2"/>
        <v>0.19098351194518273</v>
      </c>
      <c r="T9" s="7">
        <v>6182717</v>
      </c>
      <c r="U9" s="7">
        <v>1843054</v>
      </c>
      <c r="V9" s="7">
        <v>10352811</v>
      </c>
      <c r="W9" s="7">
        <v>257701</v>
      </c>
      <c r="X9" s="7">
        <v>257853</v>
      </c>
      <c r="Y9" s="8">
        <f t="shared" si="3"/>
        <v>0.139905287636716</v>
      </c>
      <c r="Z9" s="12">
        <v>149002</v>
      </c>
      <c r="AA9" s="12">
        <v>46772</v>
      </c>
      <c r="AB9" s="12">
        <v>249136</v>
      </c>
      <c r="AC9" s="12">
        <v>6438</v>
      </c>
      <c r="AD9" s="12">
        <v>6444</v>
      </c>
      <c r="AE9" s="11">
        <f t="shared" si="4"/>
        <v>0.13777473702215001</v>
      </c>
      <c r="AF9" s="21">
        <v>6142022</v>
      </c>
      <c r="AG9" s="21">
        <v>1843054</v>
      </c>
      <c r="AH9" s="21">
        <v>10289116</v>
      </c>
      <c r="AI9" s="21">
        <v>257701</v>
      </c>
      <c r="AJ9" s="21">
        <v>257853</v>
      </c>
      <c r="AK9" s="22">
        <f t="shared" si="5"/>
        <v>0.139905287636716</v>
      </c>
    </row>
    <row r="10" spans="1:37" x14ac:dyDescent="0.2">
      <c r="A10" s="3">
        <v>17959</v>
      </c>
      <c r="B10" s="6">
        <v>5863673</v>
      </c>
      <c r="C10" s="6">
        <v>543602</v>
      </c>
      <c r="D10" s="6">
        <v>5320071</v>
      </c>
      <c r="E10" s="6">
        <v>252</v>
      </c>
      <c r="F10" s="6">
        <v>252</v>
      </c>
      <c r="G10" s="9">
        <f t="shared" si="0"/>
        <v>4.6357445336845705E-4</v>
      </c>
      <c r="H10" s="14">
        <v>140220</v>
      </c>
      <c r="I10" s="14">
        <v>13818</v>
      </c>
      <c r="J10" s="14">
        <v>126402</v>
      </c>
      <c r="K10" s="14">
        <v>0</v>
      </c>
      <c r="L10" s="14">
        <v>0</v>
      </c>
      <c r="M10" s="15">
        <f t="shared" si="1"/>
        <v>0</v>
      </c>
      <c r="N10" s="18">
        <v>5844404</v>
      </c>
      <c r="O10" s="18">
        <v>543602</v>
      </c>
      <c r="P10" s="18">
        <v>5300802</v>
      </c>
      <c r="Q10" s="18">
        <v>252</v>
      </c>
      <c r="R10" s="18">
        <v>252</v>
      </c>
      <c r="S10" s="19">
        <f t="shared" si="2"/>
        <v>4.6357445336845705E-4</v>
      </c>
      <c r="T10" s="7">
        <v>6070289</v>
      </c>
      <c r="U10" s="7">
        <v>816285</v>
      </c>
      <c r="V10" s="7">
        <v>5254004</v>
      </c>
      <c r="W10" s="7">
        <v>204</v>
      </c>
      <c r="X10" s="7">
        <v>204</v>
      </c>
      <c r="Y10" s="8">
        <f t="shared" si="3"/>
        <v>2.4991271430934049E-4</v>
      </c>
      <c r="Z10" s="12">
        <v>147300</v>
      </c>
      <c r="AA10" s="12">
        <v>19975</v>
      </c>
      <c r="AB10" s="12">
        <v>127325</v>
      </c>
      <c r="AC10" s="12">
        <v>0</v>
      </c>
      <c r="AD10" s="12">
        <v>0</v>
      </c>
      <c r="AE10" s="11">
        <f t="shared" si="4"/>
        <v>0</v>
      </c>
      <c r="AF10" s="21">
        <v>6041802</v>
      </c>
      <c r="AG10" s="21">
        <v>816285</v>
      </c>
      <c r="AH10" s="21">
        <v>5225517</v>
      </c>
      <c r="AI10" s="21">
        <v>204</v>
      </c>
      <c r="AJ10" s="21">
        <v>204</v>
      </c>
      <c r="AK10" s="22">
        <f t="shared" si="5"/>
        <v>2.4991271430934049E-4</v>
      </c>
    </row>
    <row r="11" spans="1:37" x14ac:dyDescent="0.2">
      <c r="A11" s="3">
        <v>19992</v>
      </c>
      <c r="B11" s="6">
        <v>5835508</v>
      </c>
      <c r="C11" s="6">
        <v>1796109</v>
      </c>
      <c r="D11" s="6">
        <v>4039399</v>
      </c>
      <c r="E11" s="6">
        <v>391</v>
      </c>
      <c r="F11" s="6">
        <v>391</v>
      </c>
      <c r="G11" s="9">
        <f t="shared" si="0"/>
        <v>2.1769280149478679E-4</v>
      </c>
      <c r="H11" s="14">
        <v>139297</v>
      </c>
      <c r="I11" s="14">
        <v>48775</v>
      </c>
      <c r="J11" s="14">
        <v>90522</v>
      </c>
      <c r="K11" s="14">
        <v>2</v>
      </c>
      <c r="L11" s="14">
        <v>2</v>
      </c>
      <c r="M11" s="15">
        <f t="shared" si="1"/>
        <v>4.1004613018964633E-5</v>
      </c>
      <c r="N11" s="18">
        <v>5813870</v>
      </c>
      <c r="O11" s="18">
        <v>1796109</v>
      </c>
      <c r="P11" s="18">
        <v>4017761</v>
      </c>
      <c r="Q11" s="18">
        <v>391</v>
      </c>
      <c r="R11" s="18">
        <v>391</v>
      </c>
      <c r="S11" s="19">
        <f t="shared" si="2"/>
        <v>2.1769280149478679E-4</v>
      </c>
      <c r="T11" s="7">
        <v>6045342</v>
      </c>
      <c r="U11" s="7">
        <v>2075637</v>
      </c>
      <c r="V11" s="7">
        <v>3969705</v>
      </c>
      <c r="W11" s="7">
        <v>264</v>
      </c>
      <c r="X11" s="7">
        <v>264</v>
      </c>
      <c r="Y11" s="8">
        <f t="shared" si="3"/>
        <v>1.2718986990499783E-4</v>
      </c>
      <c r="Z11" s="12">
        <v>146621</v>
      </c>
      <c r="AA11" s="12">
        <v>55229</v>
      </c>
      <c r="AB11" s="12">
        <v>91392</v>
      </c>
      <c r="AC11" s="12">
        <v>10</v>
      </c>
      <c r="AD11" s="12">
        <v>10</v>
      </c>
      <c r="AE11" s="11">
        <f t="shared" si="4"/>
        <v>1.8106429593148528E-4</v>
      </c>
      <c r="AF11" s="21">
        <v>6015347</v>
      </c>
      <c r="AG11" s="21">
        <v>2075637</v>
      </c>
      <c r="AH11" s="21">
        <v>3939710</v>
      </c>
      <c r="AI11" s="21">
        <v>264</v>
      </c>
      <c r="AJ11" s="21">
        <v>264</v>
      </c>
      <c r="AK11" s="22">
        <f t="shared" si="5"/>
        <v>1.2718986990499783E-4</v>
      </c>
    </row>
    <row r="12" spans="1:37" x14ac:dyDescent="0.2">
      <c r="A12" s="3">
        <v>19997</v>
      </c>
      <c r="B12" s="6">
        <v>6097028</v>
      </c>
      <c r="C12" s="6">
        <v>1808460</v>
      </c>
      <c r="D12" s="6">
        <v>4288568</v>
      </c>
      <c r="E12" s="6">
        <v>19884</v>
      </c>
      <c r="F12" s="6">
        <v>19884</v>
      </c>
      <c r="G12" s="9">
        <f t="shared" si="0"/>
        <v>1.0994990212667132E-2</v>
      </c>
      <c r="H12" s="14">
        <v>145133</v>
      </c>
      <c r="I12" s="14">
        <v>49722</v>
      </c>
      <c r="J12" s="14">
        <v>95411</v>
      </c>
      <c r="K12" s="14">
        <v>213</v>
      </c>
      <c r="L12" s="14">
        <v>213</v>
      </c>
      <c r="M12" s="15">
        <f t="shared" si="1"/>
        <v>4.2838180282369978E-3</v>
      </c>
      <c r="N12" s="18">
        <v>6075988</v>
      </c>
      <c r="O12" s="18">
        <v>1808460</v>
      </c>
      <c r="P12" s="18">
        <v>4267528</v>
      </c>
      <c r="Q12" s="18">
        <v>19884</v>
      </c>
      <c r="R12" s="18">
        <v>19884</v>
      </c>
      <c r="S12" s="19">
        <f t="shared" si="2"/>
        <v>1.0994990212667132E-2</v>
      </c>
      <c r="T12" s="7">
        <v>6244542</v>
      </c>
      <c r="U12" s="7">
        <v>2048396</v>
      </c>
      <c r="V12" s="7">
        <v>4196146</v>
      </c>
      <c r="W12" s="7">
        <v>19462</v>
      </c>
      <c r="X12" s="7">
        <v>19462</v>
      </c>
      <c r="Y12" s="8">
        <f t="shared" si="3"/>
        <v>9.5010925621803605E-3</v>
      </c>
      <c r="Z12" s="12">
        <v>151542</v>
      </c>
      <c r="AA12" s="12">
        <v>54907</v>
      </c>
      <c r="AB12" s="12">
        <v>96635</v>
      </c>
      <c r="AC12" s="12">
        <v>230</v>
      </c>
      <c r="AD12" s="12">
        <v>230</v>
      </c>
      <c r="AE12" s="11">
        <f t="shared" si="4"/>
        <v>4.1889012329939714E-3</v>
      </c>
      <c r="AF12" s="21">
        <v>6213290</v>
      </c>
      <c r="AG12" s="21">
        <v>2048396</v>
      </c>
      <c r="AH12" s="21">
        <v>4164894</v>
      </c>
      <c r="AI12" s="21">
        <v>19462</v>
      </c>
      <c r="AJ12" s="21">
        <v>19462</v>
      </c>
      <c r="AK12" s="22">
        <f t="shared" si="5"/>
        <v>9.5010925621803605E-3</v>
      </c>
    </row>
    <row r="13" spans="1:37" x14ac:dyDescent="0.2">
      <c r="A13" s="3">
        <v>2357</v>
      </c>
      <c r="B13" s="6">
        <v>5854402</v>
      </c>
      <c r="C13" s="6">
        <v>1894703</v>
      </c>
      <c r="D13" s="6">
        <v>3959699</v>
      </c>
      <c r="E13" s="6">
        <v>10334</v>
      </c>
      <c r="F13" s="6">
        <v>10334</v>
      </c>
      <c r="G13" s="9">
        <f t="shared" si="0"/>
        <v>5.4541529727878194E-3</v>
      </c>
      <c r="H13" s="14">
        <v>139224</v>
      </c>
      <c r="I13" s="14">
        <v>50373</v>
      </c>
      <c r="J13" s="14">
        <v>88851</v>
      </c>
      <c r="K13" s="14">
        <v>127</v>
      </c>
      <c r="L13" s="14">
        <v>127</v>
      </c>
      <c r="M13" s="15">
        <f t="shared" si="1"/>
        <v>2.5211919083636073E-3</v>
      </c>
      <c r="N13" s="18">
        <v>5834833</v>
      </c>
      <c r="O13" s="18">
        <v>1894703</v>
      </c>
      <c r="P13" s="18">
        <v>3940130</v>
      </c>
      <c r="Q13" s="18">
        <v>10334</v>
      </c>
      <c r="R13" s="18">
        <v>10334</v>
      </c>
      <c r="S13" s="19">
        <f t="shared" si="2"/>
        <v>5.4541529727878194E-3</v>
      </c>
      <c r="T13" s="7">
        <v>6037392</v>
      </c>
      <c r="U13" s="7">
        <v>2166144</v>
      </c>
      <c r="V13" s="7">
        <v>3871248</v>
      </c>
      <c r="W13" s="7">
        <v>10318</v>
      </c>
      <c r="X13" s="7">
        <v>10318</v>
      </c>
      <c r="Y13" s="8">
        <f t="shared" si="3"/>
        <v>4.7633029013768244E-3</v>
      </c>
      <c r="Z13" s="12">
        <v>147154</v>
      </c>
      <c r="AA13" s="12">
        <v>56660</v>
      </c>
      <c r="AB13" s="12">
        <v>90494</v>
      </c>
      <c r="AC13" s="12">
        <v>116</v>
      </c>
      <c r="AD13" s="12">
        <v>116</v>
      </c>
      <c r="AE13" s="11">
        <f t="shared" si="4"/>
        <v>2.0472996823155667E-3</v>
      </c>
      <c r="AF13" s="21">
        <v>6008274</v>
      </c>
      <c r="AG13" s="21">
        <v>2166144</v>
      </c>
      <c r="AH13" s="21">
        <v>3842130</v>
      </c>
      <c r="AI13" s="21">
        <v>10318</v>
      </c>
      <c r="AJ13" s="21">
        <v>10318</v>
      </c>
      <c r="AK13" s="22">
        <f t="shared" si="5"/>
        <v>4.7633029013768244E-3</v>
      </c>
    </row>
    <row r="14" spans="1:37" x14ac:dyDescent="0.2">
      <c r="A14" s="3">
        <v>6188</v>
      </c>
      <c r="B14" s="6">
        <v>5859660</v>
      </c>
      <c r="C14" s="6">
        <v>1554550</v>
      </c>
      <c r="D14" s="6">
        <v>4305110</v>
      </c>
      <c r="E14" s="6">
        <v>1119</v>
      </c>
      <c r="F14" s="6">
        <v>1119</v>
      </c>
      <c r="G14" s="9">
        <f t="shared" si="0"/>
        <v>7.198224566594834E-4</v>
      </c>
      <c r="H14" s="14">
        <v>139036</v>
      </c>
      <c r="I14" s="14">
        <v>43740</v>
      </c>
      <c r="J14" s="14">
        <v>95296</v>
      </c>
      <c r="K14" s="14">
        <v>1</v>
      </c>
      <c r="L14" s="14">
        <v>1</v>
      </c>
      <c r="M14" s="15">
        <f t="shared" si="1"/>
        <v>2.2862368541380887E-5</v>
      </c>
      <c r="N14" s="18">
        <v>5838393</v>
      </c>
      <c r="O14" s="18">
        <v>1554550</v>
      </c>
      <c r="P14" s="18">
        <v>4283843</v>
      </c>
      <c r="Q14" s="18">
        <v>1119</v>
      </c>
      <c r="R14" s="18">
        <v>1119</v>
      </c>
      <c r="S14" s="19">
        <f t="shared" si="2"/>
        <v>7.198224566594834E-4</v>
      </c>
      <c r="T14" s="7">
        <v>6052783</v>
      </c>
      <c r="U14" s="7">
        <v>1830432</v>
      </c>
      <c r="V14" s="7">
        <v>4222351</v>
      </c>
      <c r="W14" s="7">
        <v>753</v>
      </c>
      <c r="X14" s="7">
        <v>753</v>
      </c>
      <c r="Y14" s="8">
        <f t="shared" si="3"/>
        <v>4.1137829758221013E-4</v>
      </c>
      <c r="Z14" s="12">
        <v>147217</v>
      </c>
      <c r="AA14" s="12">
        <v>50135</v>
      </c>
      <c r="AB14" s="12">
        <v>97082</v>
      </c>
      <c r="AC14" s="12">
        <v>8</v>
      </c>
      <c r="AD14" s="12">
        <v>8</v>
      </c>
      <c r="AE14" s="11">
        <f t="shared" si="4"/>
        <v>1.5956916325920016E-4</v>
      </c>
      <c r="AF14" s="21">
        <v>6021085</v>
      </c>
      <c r="AG14" s="21">
        <v>1830432</v>
      </c>
      <c r="AH14" s="21">
        <v>4190653</v>
      </c>
      <c r="AI14" s="21">
        <v>753</v>
      </c>
      <c r="AJ14" s="21">
        <v>753</v>
      </c>
      <c r="AK14" s="22">
        <f t="shared" si="5"/>
        <v>4.1137829758221013E-4</v>
      </c>
    </row>
    <row r="15" spans="1:37" x14ac:dyDescent="0.2">
      <c r="A15" s="3">
        <v>6815</v>
      </c>
      <c r="B15" s="6">
        <v>5837785</v>
      </c>
      <c r="C15" s="6">
        <v>451463</v>
      </c>
      <c r="D15" s="6">
        <v>5386322</v>
      </c>
      <c r="E15" s="6">
        <v>169</v>
      </c>
      <c r="F15" s="6">
        <v>169</v>
      </c>
      <c r="G15" s="9">
        <f t="shared" si="0"/>
        <v>3.7433853937088974E-4</v>
      </c>
      <c r="H15" s="14">
        <v>139445</v>
      </c>
      <c r="I15" s="14">
        <v>11997</v>
      </c>
      <c r="J15" s="14">
        <v>127448</v>
      </c>
      <c r="K15" s="14">
        <v>0</v>
      </c>
      <c r="L15" s="14">
        <v>0</v>
      </c>
      <c r="M15" s="15">
        <f t="shared" si="1"/>
        <v>0</v>
      </c>
      <c r="N15" s="18">
        <v>5816969</v>
      </c>
      <c r="O15" s="18">
        <v>451463</v>
      </c>
      <c r="P15" s="18">
        <v>5365506</v>
      </c>
      <c r="Q15" s="18">
        <v>169</v>
      </c>
      <c r="R15" s="18">
        <v>169</v>
      </c>
      <c r="S15" s="19">
        <f t="shared" si="2"/>
        <v>3.7433853937088974E-4</v>
      </c>
      <c r="T15" s="7">
        <v>6028885</v>
      </c>
      <c r="U15" s="7">
        <v>684620</v>
      </c>
      <c r="V15" s="7">
        <v>5344265</v>
      </c>
      <c r="W15" s="7">
        <v>178</v>
      </c>
      <c r="X15" s="7">
        <v>178</v>
      </c>
      <c r="Y15" s="8">
        <f t="shared" si="3"/>
        <v>2.5999824720282787E-4</v>
      </c>
      <c r="Z15" s="12">
        <v>146290</v>
      </c>
      <c r="AA15" s="12">
        <v>17547</v>
      </c>
      <c r="AB15" s="12">
        <v>128743</v>
      </c>
      <c r="AC15" s="12">
        <v>3</v>
      </c>
      <c r="AD15" s="12">
        <v>3</v>
      </c>
      <c r="AE15" s="11">
        <f t="shared" si="4"/>
        <v>1.7096939647803043E-4</v>
      </c>
      <c r="AF15" s="21">
        <v>6000111</v>
      </c>
      <c r="AG15" s="21">
        <v>684620</v>
      </c>
      <c r="AH15" s="21">
        <v>5315491</v>
      </c>
      <c r="AI15" s="21">
        <v>178</v>
      </c>
      <c r="AJ15" s="21">
        <v>178</v>
      </c>
      <c r="AK15" s="22">
        <f t="shared" si="5"/>
        <v>2.5999824720282787E-4</v>
      </c>
    </row>
    <row r="16" spans="1:37" x14ac:dyDescent="0.2">
      <c r="A16" s="3">
        <v>8037</v>
      </c>
      <c r="B16" s="6">
        <v>5985086</v>
      </c>
      <c r="C16" s="6">
        <v>840582</v>
      </c>
      <c r="D16" s="6">
        <v>10867500</v>
      </c>
      <c r="E16" s="6">
        <v>2056</v>
      </c>
      <c r="F16" s="6">
        <v>2074</v>
      </c>
      <c r="G16" s="9">
        <f t="shared" si="0"/>
        <v>2.4673381062168829E-3</v>
      </c>
      <c r="H16" s="14">
        <v>141760</v>
      </c>
      <c r="I16" s="14">
        <v>22589</v>
      </c>
      <c r="J16" s="14">
        <v>257888</v>
      </c>
      <c r="K16" s="14">
        <v>20</v>
      </c>
      <c r="L16" s="14">
        <v>20</v>
      </c>
      <c r="M16" s="15">
        <f t="shared" si="1"/>
        <v>8.8538669263800961E-4</v>
      </c>
      <c r="N16" s="18">
        <v>5961924</v>
      </c>
      <c r="O16" s="18">
        <v>840582</v>
      </c>
      <c r="P16" s="18">
        <v>10830165</v>
      </c>
      <c r="Q16" s="18">
        <v>2056</v>
      </c>
      <c r="R16" s="18">
        <v>2074</v>
      </c>
      <c r="S16" s="19">
        <f t="shared" si="2"/>
        <v>2.4673381062168829E-3</v>
      </c>
      <c r="T16" s="7">
        <v>6154947</v>
      </c>
      <c r="U16" s="7">
        <v>1279252</v>
      </c>
      <c r="V16" s="7">
        <v>10805001</v>
      </c>
      <c r="W16" s="7">
        <v>2053</v>
      </c>
      <c r="X16" s="7">
        <v>2066</v>
      </c>
      <c r="Y16" s="8">
        <f t="shared" si="3"/>
        <v>1.6150062692886155E-3</v>
      </c>
      <c r="Z16" s="12">
        <v>149283</v>
      </c>
      <c r="AA16" s="12">
        <v>33111</v>
      </c>
      <c r="AB16" s="12">
        <v>262454</v>
      </c>
      <c r="AC16" s="12">
        <v>25</v>
      </c>
      <c r="AD16" s="12">
        <v>25</v>
      </c>
      <c r="AE16" s="11">
        <f t="shared" si="4"/>
        <v>7.5503609072513666E-4</v>
      </c>
      <c r="AF16" s="21">
        <v>6119817</v>
      </c>
      <c r="AG16" s="21">
        <v>1279252</v>
      </c>
      <c r="AH16" s="21">
        <v>10750026</v>
      </c>
      <c r="AI16" s="21">
        <v>2053</v>
      </c>
      <c r="AJ16" s="21">
        <v>2066</v>
      </c>
      <c r="AK16" s="22">
        <f t="shared" si="5"/>
        <v>1.6150062692886155E-3</v>
      </c>
    </row>
    <row r="17" spans="1:37" x14ac:dyDescent="0.2">
      <c r="A17" s="3">
        <v>8600</v>
      </c>
      <c r="B17" s="6">
        <v>5950918</v>
      </c>
      <c r="C17" s="6">
        <v>425582</v>
      </c>
      <c r="D17" s="6">
        <v>5525336</v>
      </c>
      <c r="E17" s="6">
        <v>175</v>
      </c>
      <c r="F17" s="6">
        <v>175</v>
      </c>
      <c r="G17" s="9">
        <f t="shared" si="0"/>
        <v>4.1120160157149502E-4</v>
      </c>
      <c r="H17" s="14">
        <v>142475</v>
      </c>
      <c r="I17" s="14">
        <v>11087</v>
      </c>
      <c r="J17" s="14">
        <v>131388</v>
      </c>
      <c r="K17" s="14">
        <v>4</v>
      </c>
      <c r="L17" s="14">
        <v>4</v>
      </c>
      <c r="M17" s="15">
        <f t="shared" si="1"/>
        <v>3.6078289889059258E-4</v>
      </c>
      <c r="N17" s="18">
        <v>5929154</v>
      </c>
      <c r="O17" s="18">
        <v>425582</v>
      </c>
      <c r="P17" s="18">
        <v>5503572</v>
      </c>
      <c r="Q17" s="18">
        <v>175</v>
      </c>
      <c r="R17" s="18">
        <v>175</v>
      </c>
      <c r="S17" s="19">
        <f t="shared" si="2"/>
        <v>4.1120160157149502E-4</v>
      </c>
      <c r="T17" s="7">
        <v>6101714</v>
      </c>
      <c r="U17" s="7">
        <v>617921</v>
      </c>
      <c r="V17" s="7">
        <v>5483793</v>
      </c>
      <c r="W17" s="7">
        <v>163</v>
      </c>
      <c r="X17" s="7">
        <v>163</v>
      </c>
      <c r="Y17" s="8">
        <f t="shared" si="3"/>
        <v>2.6378776574999068E-4</v>
      </c>
      <c r="Z17" s="12">
        <v>149553</v>
      </c>
      <c r="AA17" s="12">
        <v>15734</v>
      </c>
      <c r="AB17" s="12">
        <v>133819</v>
      </c>
      <c r="AC17" s="12">
        <v>4</v>
      </c>
      <c r="AD17" s="12">
        <v>4</v>
      </c>
      <c r="AE17" s="11">
        <f t="shared" si="4"/>
        <v>2.5422651582560063E-4</v>
      </c>
      <c r="AF17" s="21">
        <v>6071284</v>
      </c>
      <c r="AG17" s="21">
        <v>617921</v>
      </c>
      <c r="AH17" s="21">
        <v>5453363</v>
      </c>
      <c r="AI17" s="21">
        <v>163</v>
      </c>
      <c r="AJ17" s="21">
        <v>163</v>
      </c>
      <c r="AK17" s="22">
        <f t="shared" si="5"/>
        <v>2.6378776574999068E-4</v>
      </c>
    </row>
    <row r="18" spans="1:37" x14ac:dyDescent="0.2">
      <c r="A18" s="3">
        <v>9009</v>
      </c>
      <c r="B18" s="6">
        <v>5867369</v>
      </c>
      <c r="C18" s="6">
        <v>1892726</v>
      </c>
      <c r="D18" s="6">
        <v>3974643</v>
      </c>
      <c r="E18" s="6">
        <v>319</v>
      </c>
      <c r="F18" s="6">
        <v>319</v>
      </c>
      <c r="G18" s="9">
        <f t="shared" si="0"/>
        <v>1.6853997884532678E-4</v>
      </c>
      <c r="H18" s="14">
        <v>139219</v>
      </c>
      <c r="I18" s="14">
        <v>50365</v>
      </c>
      <c r="J18" s="14">
        <v>88854</v>
      </c>
      <c r="K18" s="14">
        <v>6</v>
      </c>
      <c r="L18" s="14">
        <v>6</v>
      </c>
      <c r="M18" s="15">
        <f t="shared" si="1"/>
        <v>1.1913034845626923E-4</v>
      </c>
      <c r="N18" s="18">
        <v>5847820</v>
      </c>
      <c r="O18" s="18">
        <v>1892726</v>
      </c>
      <c r="P18" s="18">
        <v>3955094</v>
      </c>
      <c r="Q18" s="18">
        <v>319</v>
      </c>
      <c r="R18" s="18">
        <v>319</v>
      </c>
      <c r="S18" s="19">
        <f t="shared" si="2"/>
        <v>1.6853997884532678E-4</v>
      </c>
      <c r="T18" s="7">
        <v>6049925</v>
      </c>
      <c r="U18" s="7">
        <v>2182660</v>
      </c>
      <c r="V18" s="7">
        <v>3867265</v>
      </c>
      <c r="W18" s="7">
        <v>224</v>
      </c>
      <c r="X18" s="7">
        <v>224</v>
      </c>
      <c r="Y18" s="8">
        <f t="shared" si="3"/>
        <v>1.026270697222655E-4</v>
      </c>
      <c r="Z18" s="12">
        <v>146753</v>
      </c>
      <c r="AA18" s="12">
        <v>57015</v>
      </c>
      <c r="AB18" s="12">
        <v>89738</v>
      </c>
      <c r="AC18" s="12">
        <v>7</v>
      </c>
      <c r="AD18" s="12">
        <v>7</v>
      </c>
      <c r="AE18" s="11">
        <f t="shared" si="4"/>
        <v>1.2277470841006753E-4</v>
      </c>
      <c r="AF18" s="21">
        <v>6021068</v>
      </c>
      <c r="AG18" s="21">
        <v>2182660</v>
      </c>
      <c r="AH18" s="21">
        <v>3838408</v>
      </c>
      <c r="AI18" s="21">
        <v>224</v>
      </c>
      <c r="AJ18" s="21">
        <v>224</v>
      </c>
      <c r="AK18" s="22">
        <f t="shared" si="5"/>
        <v>1.026270697222655E-4</v>
      </c>
    </row>
    <row r="19" spans="1:37" x14ac:dyDescent="0.2">
      <c r="A19" s="3">
        <v>9885</v>
      </c>
      <c r="B19" s="6">
        <v>5879716</v>
      </c>
      <c r="C19" s="6">
        <v>1924741</v>
      </c>
      <c r="D19" s="6">
        <v>3954975</v>
      </c>
      <c r="E19" s="6">
        <v>21960</v>
      </c>
      <c r="F19" s="6">
        <v>21960</v>
      </c>
      <c r="G19" s="9">
        <f t="shared" si="0"/>
        <v>1.1409327280917276E-2</v>
      </c>
      <c r="H19" s="14">
        <v>140289</v>
      </c>
      <c r="I19" s="14">
        <v>53702</v>
      </c>
      <c r="J19" s="14">
        <v>86587</v>
      </c>
      <c r="K19" s="14">
        <v>285</v>
      </c>
      <c r="L19" s="14">
        <v>285</v>
      </c>
      <c r="M19" s="15">
        <f t="shared" si="1"/>
        <v>5.3070649137834719E-3</v>
      </c>
      <c r="N19" s="18">
        <v>5856721</v>
      </c>
      <c r="O19" s="18">
        <v>1924741</v>
      </c>
      <c r="P19" s="18">
        <v>3931980</v>
      </c>
      <c r="Q19" s="18">
        <v>21960</v>
      </c>
      <c r="R19" s="18">
        <v>21960</v>
      </c>
      <c r="S19" s="19">
        <f t="shared" si="2"/>
        <v>1.1409327280917276E-2</v>
      </c>
      <c r="T19" s="7">
        <v>6068248</v>
      </c>
      <c r="U19" s="7">
        <v>2204709</v>
      </c>
      <c r="V19" s="7">
        <v>3863539</v>
      </c>
      <c r="W19" s="7">
        <v>22053</v>
      </c>
      <c r="X19" s="7">
        <v>22053</v>
      </c>
      <c r="Y19" s="8">
        <f t="shared" si="3"/>
        <v>1.0002680625878517E-2</v>
      </c>
      <c r="Z19" s="12">
        <v>146970</v>
      </c>
      <c r="AA19" s="12">
        <v>59967</v>
      </c>
      <c r="AB19" s="12">
        <v>87003</v>
      </c>
      <c r="AC19" s="12">
        <v>296</v>
      </c>
      <c r="AD19" s="12">
        <v>296</v>
      </c>
      <c r="AE19" s="11">
        <f t="shared" si="4"/>
        <v>4.9360481598212354E-3</v>
      </c>
      <c r="AF19" s="21">
        <v>6036429</v>
      </c>
      <c r="AG19" s="21">
        <v>2204709</v>
      </c>
      <c r="AH19" s="21">
        <v>3831720</v>
      </c>
      <c r="AI19" s="21">
        <v>22053</v>
      </c>
      <c r="AJ19" s="21">
        <v>22053</v>
      </c>
      <c r="AK19" s="22">
        <f t="shared" si="5"/>
        <v>1.0002680625878517E-2</v>
      </c>
    </row>
    <row r="20" spans="1:37" x14ac:dyDescent="0.2">
      <c r="A20" s="3" t="s">
        <v>3</v>
      </c>
      <c r="B20" s="6">
        <v>14487104</v>
      </c>
      <c r="C20" s="6">
        <v>100465153</v>
      </c>
      <c r="D20" s="6">
        <v>181568229</v>
      </c>
      <c r="E20" s="6">
        <v>696695</v>
      </c>
      <c r="F20" s="6">
        <v>750067</v>
      </c>
      <c r="G20" s="9">
        <f>F20/C20</f>
        <v>7.4659419470550154E-3</v>
      </c>
      <c r="H20" s="14">
        <v>372861</v>
      </c>
      <c r="I20" s="14">
        <v>2835345</v>
      </c>
      <c r="J20" s="14">
        <v>4553237</v>
      </c>
      <c r="K20" s="14">
        <v>16780</v>
      </c>
      <c r="L20" s="14">
        <v>17674</v>
      </c>
      <c r="M20" s="15">
        <f t="shared" si="1"/>
        <v>6.2334565987560596E-3</v>
      </c>
      <c r="N20" s="18">
        <v>14409975</v>
      </c>
      <c r="O20" s="18">
        <v>100465153</v>
      </c>
      <c r="P20" s="18">
        <v>180447322</v>
      </c>
      <c r="Q20" s="18">
        <v>696695</v>
      </c>
      <c r="R20" s="18">
        <v>750067</v>
      </c>
      <c r="S20" s="19">
        <f t="shared" si="2"/>
        <v>7.4659419470550154E-3</v>
      </c>
      <c r="T20" s="7">
        <v>14068379</v>
      </c>
      <c r="U20" s="7">
        <v>104088487</v>
      </c>
      <c r="V20" s="7">
        <v>170547002</v>
      </c>
      <c r="W20" s="7">
        <v>699979</v>
      </c>
      <c r="X20" s="7">
        <v>753994</v>
      </c>
      <c r="Y20" s="8">
        <f t="shared" si="3"/>
        <v>7.2437790358120969E-3</v>
      </c>
      <c r="Z20" s="12">
        <v>375999</v>
      </c>
      <c r="AA20" s="12">
        <v>2936724</v>
      </c>
      <c r="AB20" s="12">
        <v>4509609</v>
      </c>
      <c r="AC20" s="12">
        <v>17277</v>
      </c>
      <c r="AD20" s="12">
        <v>18249</v>
      </c>
      <c r="AE20" s="11">
        <f t="shared" si="4"/>
        <v>6.2140671033437261E-3</v>
      </c>
      <c r="AF20" s="21">
        <v>13959776</v>
      </c>
      <c r="AG20" s="21">
        <v>104088487</v>
      </c>
      <c r="AH20" s="21">
        <v>169131979</v>
      </c>
      <c r="AI20" s="21">
        <v>699979</v>
      </c>
      <c r="AJ20" s="21">
        <v>753994</v>
      </c>
      <c r="AK20" s="22">
        <f t="shared" si="5"/>
        <v>7.2437790358120969E-3</v>
      </c>
    </row>
    <row r="21" spans="1:37" x14ac:dyDescent="0.2">
      <c r="A21" s="3" t="s">
        <v>4</v>
      </c>
      <c r="B21" s="6">
        <f>MEDIAN(B4:B19)</f>
        <v>5873542.5</v>
      </c>
      <c r="C21" s="6">
        <f>MEDIAN(C4:C19)</f>
        <v>1625993.5</v>
      </c>
      <c r="D21" s="6">
        <f>MEDIAN(D4:D19)</f>
        <v>4435681.5</v>
      </c>
      <c r="E21" s="6">
        <f t="shared" ref="E21:F21" si="6">MEDIAN(E4:E19)</f>
        <v>6195</v>
      </c>
      <c r="F21" s="6">
        <f t="shared" si="6"/>
        <v>6204</v>
      </c>
      <c r="G21" s="9">
        <f>F21/C21</f>
        <v>3.8155134076489237E-3</v>
      </c>
      <c r="H21" s="14">
        <f>MEDIAN(H4:H19)</f>
        <v>139832.5</v>
      </c>
      <c r="I21" s="14">
        <f>MEDIAN(I4:I19)</f>
        <v>45038.5</v>
      </c>
      <c r="J21" s="14">
        <f>MEDIAN(J4:J19)</f>
        <v>98533.5</v>
      </c>
      <c r="K21" s="14">
        <f t="shared" ref="K21:L21" si="7">MEDIAN(K4:K19)</f>
        <v>73.5</v>
      </c>
      <c r="L21" s="14">
        <f t="shared" si="7"/>
        <v>73.5</v>
      </c>
      <c r="M21" s="15">
        <f>L21/I21</f>
        <v>1.6319371204636033E-3</v>
      </c>
      <c r="N21" s="18">
        <f>MEDIAN(N4:N19)</f>
        <v>5852270.5</v>
      </c>
      <c r="O21" s="18">
        <f>MEDIAN(O4:O19)</f>
        <v>1625993.5</v>
      </c>
      <c r="P21" s="18">
        <f>MEDIAN(P4:P19)</f>
        <v>4413210</v>
      </c>
      <c r="Q21" s="18">
        <f t="shared" ref="Q21:R21" si="8">MEDIAN(Q4:Q19)</f>
        <v>6195</v>
      </c>
      <c r="R21" s="18">
        <f t="shared" si="8"/>
        <v>6204</v>
      </c>
      <c r="S21" s="19">
        <f>R21/O21</f>
        <v>3.8155134076489237E-3</v>
      </c>
      <c r="T21" s="7">
        <f>MEDIAN(T4:T19)</f>
        <v>6069268.5</v>
      </c>
      <c r="U21" s="7">
        <f>MEDIAN(U4:U19)</f>
        <v>1916126</v>
      </c>
      <c r="V21" s="7">
        <f>MEDIAN(V4:V19)</f>
        <v>4365773</v>
      </c>
      <c r="W21" s="7">
        <f>MEDIAN(W4:W19)</f>
        <v>6185.5</v>
      </c>
      <c r="X21" s="7">
        <f>MEDIAN(X4:X19)</f>
        <v>6192</v>
      </c>
      <c r="Y21" s="8">
        <f t="shared" si="3"/>
        <v>3.2315202653687702E-3</v>
      </c>
      <c r="Z21" s="12">
        <f>MEDIAN(Z4:Z19)</f>
        <v>147258.5</v>
      </c>
      <c r="AA21" s="12">
        <f>MEDIAN(AA4:AA19)</f>
        <v>51784.5</v>
      </c>
      <c r="AB21" s="12">
        <f>MEDIAN(AB4:AB19)</f>
        <v>100143.5</v>
      </c>
      <c r="AC21" s="12">
        <f>MEDIAN(AC4:AC19)</f>
        <v>71</v>
      </c>
      <c r="AD21" s="12">
        <f>MEDIAN(AD4:AD19)</f>
        <v>71</v>
      </c>
      <c r="AE21" s="11">
        <f t="shared" si="4"/>
        <v>1.371066631907231E-3</v>
      </c>
      <c r="AF21" s="21">
        <f>MEDIAN(AF4:AF19)</f>
        <v>6039115.5</v>
      </c>
      <c r="AG21" s="21">
        <f>MEDIAN(AG4:AG19)</f>
        <v>1916126</v>
      </c>
      <c r="AH21" s="21">
        <f>MEDIAN(AH4:AH19)</f>
        <v>4333521</v>
      </c>
      <c r="AI21" s="21">
        <f>MEDIAN(AI4:AI19)</f>
        <v>6185.5</v>
      </c>
      <c r="AJ21" s="21">
        <f>MEDIAN(AJ4:AJ19)</f>
        <v>6192</v>
      </c>
      <c r="AK21" s="22">
        <f t="shared" si="5"/>
        <v>3.2315202653687702E-3</v>
      </c>
    </row>
    <row r="25" spans="1:37" x14ac:dyDescent="0.2">
      <c r="B25" s="24"/>
      <c r="C25" s="24" t="s">
        <v>51</v>
      </c>
      <c r="D25" s="24" t="s">
        <v>52</v>
      </c>
      <c r="E25" s="24" t="s">
        <v>53</v>
      </c>
    </row>
    <row r="26" spans="1:37" x14ac:dyDescent="0.2">
      <c r="B26" s="24" t="s">
        <v>54</v>
      </c>
      <c r="C26" s="23">
        <v>3.8155134076489237E-3</v>
      </c>
      <c r="D26" s="23">
        <v>1.6319371204636033E-3</v>
      </c>
      <c r="E26" s="23">
        <v>3.8155134076489237E-3</v>
      </c>
    </row>
    <row r="27" spans="1:37" x14ac:dyDescent="0.2">
      <c r="B27" s="24" t="s">
        <v>55</v>
      </c>
      <c r="C27" s="23">
        <v>3.2315202653687702E-3</v>
      </c>
      <c r="D27" s="23">
        <v>1.371066631907231E-3</v>
      </c>
      <c r="E27" s="23">
        <v>3.2315202653687702E-3</v>
      </c>
    </row>
  </sheetData>
  <mergeCells count="6">
    <mergeCell ref="AF2:AK2"/>
    <mergeCell ref="Z2:AE2"/>
    <mergeCell ref="H2:M2"/>
    <mergeCell ref="T2:Y2"/>
    <mergeCell ref="B2:G2"/>
    <mergeCell ref="N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9A2B-EAC3-284E-9BAF-710DE64FF058}">
  <dimension ref="A1:AF22"/>
  <sheetViews>
    <sheetView zoomScale="150" zoomScaleNormal="150" workbookViewId="0">
      <selection activeCell="K4" activeCellId="4" sqref="D4:D22 E4:E22 G4:G22 I4:I22 K4:L22"/>
    </sheetView>
  </sheetViews>
  <sheetFormatPr baseColWidth="10" defaultRowHeight="16" x14ac:dyDescent="0.2"/>
  <cols>
    <col min="1" max="1" width="49" customWidth="1"/>
    <col min="2" max="2" width="16.6640625" bestFit="1" customWidth="1"/>
    <col min="3" max="3" width="15" bestFit="1" customWidth="1"/>
    <col min="4" max="4" width="6.5" bestFit="1" customWidth="1"/>
    <col min="5" max="5" width="9.1640625" bestFit="1" customWidth="1"/>
    <col min="6" max="6" width="8.5" bestFit="1" customWidth="1"/>
    <col min="7" max="7" width="11" bestFit="1" customWidth="1"/>
    <col min="8" max="8" width="13.6640625" bestFit="1" customWidth="1"/>
    <col min="9" max="9" width="10.1640625" bestFit="1" customWidth="1"/>
    <col min="10" max="10" width="8.1640625" bestFit="1" customWidth="1"/>
    <col min="11" max="11" width="13.5" bestFit="1" customWidth="1"/>
    <col min="12" max="12" width="10.1640625" bestFit="1" customWidth="1"/>
    <col min="13" max="13" width="12.33203125" bestFit="1" customWidth="1"/>
    <col min="14" max="15" width="12.6640625" bestFit="1" customWidth="1"/>
    <col min="16" max="17" width="12.33203125" bestFit="1" customWidth="1"/>
    <col min="18" max="18" width="12.6640625" bestFit="1" customWidth="1"/>
    <col min="19" max="19" width="12.33203125" bestFit="1" customWidth="1"/>
    <col min="20" max="20" width="12.6640625" bestFit="1" customWidth="1"/>
    <col min="21" max="21" width="21.83203125" bestFit="1" customWidth="1"/>
    <col min="22" max="22" width="11" bestFit="1" customWidth="1"/>
    <col min="23" max="24" width="14.5" bestFit="1" customWidth="1"/>
    <col min="25" max="25" width="21.83203125" bestFit="1" customWidth="1"/>
    <col min="26" max="26" width="18.6640625" bestFit="1" customWidth="1"/>
    <col min="27" max="28" width="18.1640625" bestFit="1" customWidth="1"/>
    <col min="29" max="32" width="21.83203125" bestFit="1" customWidth="1"/>
  </cols>
  <sheetData>
    <row r="1" spans="1:32" x14ac:dyDescent="0.2">
      <c r="A1" t="s">
        <v>41</v>
      </c>
    </row>
    <row r="2" spans="1:32" x14ac:dyDescent="0.2">
      <c r="A2" t="s">
        <v>40</v>
      </c>
    </row>
    <row r="3" spans="1:32" x14ac:dyDescent="0.2">
      <c r="A3" t="s">
        <v>39</v>
      </c>
      <c r="B3" t="s">
        <v>38</v>
      </c>
      <c r="C3" t="s">
        <v>37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s="1" t="s">
        <v>1</v>
      </c>
      <c r="L4" s="1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6013318</v>
      </c>
      <c r="F5">
        <v>156792</v>
      </c>
      <c r="G5">
        <v>1203117</v>
      </c>
      <c r="H5">
        <v>1203117</v>
      </c>
      <c r="I5">
        <v>4810201</v>
      </c>
      <c r="J5">
        <v>0</v>
      </c>
      <c r="K5" s="1">
        <v>680</v>
      </c>
      <c r="L5" s="1">
        <v>680</v>
      </c>
      <c r="M5">
        <v>3</v>
      </c>
      <c r="N5">
        <v>9</v>
      </c>
      <c r="O5">
        <v>34</v>
      </c>
      <c r="P5">
        <v>215</v>
      </c>
      <c r="Q5">
        <v>387</v>
      </c>
      <c r="R5">
        <v>30</v>
      </c>
      <c r="S5">
        <v>2</v>
      </c>
      <c r="T5">
        <v>0</v>
      </c>
      <c r="U5">
        <v>0</v>
      </c>
      <c r="V5">
        <v>15080</v>
      </c>
      <c r="W5">
        <v>13151</v>
      </c>
      <c r="X5">
        <v>13470</v>
      </c>
      <c r="Y5">
        <v>848642</v>
      </c>
      <c r="Z5">
        <v>43738</v>
      </c>
      <c r="AA5">
        <v>41382</v>
      </c>
      <c r="AB5">
        <v>42020</v>
      </c>
      <c r="AC5">
        <v>131024</v>
      </c>
      <c r="AD5">
        <v>53908</v>
      </c>
      <c r="AE5">
        <v>24665</v>
      </c>
      <c r="AF5">
        <v>58758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6236180</v>
      </c>
      <c r="F6">
        <v>147337</v>
      </c>
      <c r="G6">
        <v>2217986</v>
      </c>
      <c r="H6">
        <v>2217986</v>
      </c>
      <c r="I6">
        <v>4018194</v>
      </c>
      <c r="J6">
        <v>0</v>
      </c>
      <c r="K6" s="1">
        <v>16362</v>
      </c>
      <c r="L6" s="1">
        <v>16362</v>
      </c>
      <c r="M6">
        <v>1</v>
      </c>
      <c r="N6">
        <v>19</v>
      </c>
      <c r="O6">
        <v>4969</v>
      </c>
      <c r="P6">
        <v>4027</v>
      </c>
      <c r="Q6">
        <v>4779</v>
      </c>
      <c r="R6">
        <v>2565</v>
      </c>
      <c r="S6">
        <v>2</v>
      </c>
      <c r="T6">
        <v>0</v>
      </c>
      <c r="U6">
        <v>0</v>
      </c>
      <c r="V6">
        <v>95561</v>
      </c>
      <c r="W6">
        <v>64504</v>
      </c>
      <c r="X6">
        <v>73101</v>
      </c>
      <c r="Y6">
        <v>748012</v>
      </c>
      <c r="Z6">
        <v>145817</v>
      </c>
      <c r="AA6">
        <v>224569</v>
      </c>
      <c r="AB6">
        <v>241763</v>
      </c>
      <c r="AC6">
        <v>426191</v>
      </c>
      <c r="AD6">
        <v>277621</v>
      </c>
      <c r="AE6">
        <v>134498</v>
      </c>
      <c r="AF6">
        <v>236317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6053829</v>
      </c>
      <c r="F7">
        <v>143708</v>
      </c>
      <c r="G7">
        <v>1544634</v>
      </c>
      <c r="H7">
        <v>1544634</v>
      </c>
      <c r="I7">
        <v>4509195</v>
      </c>
      <c r="J7">
        <v>0</v>
      </c>
      <c r="K7" s="1">
        <v>17958</v>
      </c>
      <c r="L7" s="1">
        <v>17958</v>
      </c>
      <c r="M7">
        <v>3</v>
      </c>
      <c r="N7">
        <v>47</v>
      </c>
      <c r="O7">
        <v>1989</v>
      </c>
      <c r="P7">
        <v>5124</v>
      </c>
      <c r="Q7">
        <v>9803</v>
      </c>
      <c r="R7">
        <v>992</v>
      </c>
      <c r="S7">
        <v>0</v>
      </c>
      <c r="T7">
        <v>0</v>
      </c>
      <c r="U7">
        <v>0</v>
      </c>
      <c r="V7">
        <v>27620</v>
      </c>
      <c r="W7">
        <v>17857</v>
      </c>
      <c r="X7">
        <v>20395</v>
      </c>
      <c r="Y7">
        <v>736678</v>
      </c>
      <c r="Z7">
        <v>164319</v>
      </c>
      <c r="AA7">
        <v>63334</v>
      </c>
      <c r="AB7">
        <v>68410</v>
      </c>
      <c r="AC7">
        <v>235754</v>
      </c>
      <c r="AD7">
        <v>157161</v>
      </c>
      <c r="AE7">
        <v>60874</v>
      </c>
      <c r="AF7">
        <v>106017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6655477</v>
      </c>
      <c r="F8">
        <v>71198</v>
      </c>
      <c r="G8">
        <v>6752905</v>
      </c>
      <c r="H8">
        <v>6397297</v>
      </c>
      <c r="I8">
        <v>12848791</v>
      </c>
      <c r="J8">
        <v>364735</v>
      </c>
      <c r="K8" s="1">
        <v>395402</v>
      </c>
      <c r="L8" s="1">
        <v>397394</v>
      </c>
      <c r="M8">
        <v>45</v>
      </c>
      <c r="N8">
        <v>124035</v>
      </c>
      <c r="O8">
        <v>50267</v>
      </c>
      <c r="P8">
        <v>58640</v>
      </c>
      <c r="Q8">
        <v>60812</v>
      </c>
      <c r="R8">
        <v>36996</v>
      </c>
      <c r="S8">
        <v>23</v>
      </c>
      <c r="T8">
        <v>66576</v>
      </c>
      <c r="U8">
        <v>355608</v>
      </c>
      <c r="V8">
        <v>293092</v>
      </c>
      <c r="W8">
        <v>163059</v>
      </c>
      <c r="X8">
        <v>184394</v>
      </c>
      <c r="Y8">
        <v>2164650</v>
      </c>
      <c r="Z8">
        <v>383786</v>
      </c>
      <c r="AA8">
        <v>619210</v>
      </c>
      <c r="AB8">
        <v>661880</v>
      </c>
      <c r="AC8">
        <v>1015333</v>
      </c>
      <c r="AD8">
        <v>736085</v>
      </c>
      <c r="AE8">
        <v>427694</v>
      </c>
      <c r="AF8">
        <v>631800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6099655</v>
      </c>
      <c r="F9">
        <v>140558</v>
      </c>
      <c r="G9">
        <v>1989198</v>
      </c>
      <c r="H9">
        <v>1989198</v>
      </c>
      <c r="I9">
        <v>4110457</v>
      </c>
      <c r="J9">
        <v>0</v>
      </c>
      <c r="K9" s="1">
        <v>14794</v>
      </c>
      <c r="L9" s="1">
        <v>14794</v>
      </c>
      <c r="M9">
        <v>1</v>
      </c>
      <c r="N9">
        <v>25</v>
      </c>
      <c r="O9">
        <v>3311</v>
      </c>
      <c r="P9">
        <v>3863</v>
      </c>
      <c r="Q9">
        <v>5225</v>
      </c>
      <c r="R9">
        <v>2369</v>
      </c>
      <c r="S9">
        <v>0</v>
      </c>
      <c r="T9">
        <v>0</v>
      </c>
      <c r="U9">
        <v>0</v>
      </c>
      <c r="V9">
        <v>67678</v>
      </c>
      <c r="W9">
        <v>36000</v>
      </c>
      <c r="X9">
        <v>49585</v>
      </c>
      <c r="Y9">
        <v>783641</v>
      </c>
      <c r="Z9">
        <v>161065</v>
      </c>
      <c r="AA9">
        <v>139678</v>
      </c>
      <c r="AB9">
        <v>166848</v>
      </c>
      <c r="AC9">
        <v>318709</v>
      </c>
      <c r="AD9">
        <v>250011</v>
      </c>
      <c r="AE9">
        <v>118949</v>
      </c>
      <c r="AF9">
        <v>188766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6182717</v>
      </c>
      <c r="F10">
        <v>76788</v>
      </c>
      <c r="G10">
        <v>1843054</v>
      </c>
      <c r="H10">
        <v>1841617</v>
      </c>
      <c r="I10">
        <v>10352811</v>
      </c>
      <c r="J10">
        <v>169569</v>
      </c>
      <c r="K10" s="1">
        <v>257701</v>
      </c>
      <c r="L10" s="1">
        <v>257853</v>
      </c>
      <c r="M10">
        <v>5</v>
      </c>
      <c r="N10">
        <v>3</v>
      </c>
      <c r="O10">
        <v>1</v>
      </c>
      <c r="P10">
        <v>148253</v>
      </c>
      <c r="Q10">
        <v>109589</v>
      </c>
      <c r="R10">
        <v>1</v>
      </c>
      <c r="S10">
        <v>1</v>
      </c>
      <c r="T10">
        <v>0</v>
      </c>
      <c r="U10">
        <v>1437</v>
      </c>
      <c r="V10">
        <v>6270</v>
      </c>
      <c r="W10">
        <v>1082</v>
      </c>
      <c r="X10">
        <v>971</v>
      </c>
      <c r="Y10">
        <v>1462972</v>
      </c>
      <c r="Z10">
        <v>8884</v>
      </c>
      <c r="AA10">
        <v>8434</v>
      </c>
      <c r="AB10">
        <v>8212</v>
      </c>
      <c r="AC10">
        <v>41146</v>
      </c>
      <c r="AD10">
        <v>31216</v>
      </c>
      <c r="AE10">
        <v>12184</v>
      </c>
      <c r="AF10">
        <v>19039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6070289</v>
      </c>
      <c r="F11">
        <v>127360</v>
      </c>
      <c r="G11">
        <v>816285</v>
      </c>
      <c r="H11">
        <v>816285</v>
      </c>
      <c r="I11">
        <v>5254004</v>
      </c>
      <c r="J11">
        <v>0</v>
      </c>
      <c r="K11" s="1">
        <v>204</v>
      </c>
      <c r="L11" s="1">
        <v>204</v>
      </c>
      <c r="M11">
        <v>0</v>
      </c>
      <c r="N11">
        <v>3</v>
      </c>
      <c r="O11">
        <v>4</v>
      </c>
      <c r="P11">
        <v>95</v>
      </c>
      <c r="Q11">
        <v>99</v>
      </c>
      <c r="R11">
        <v>1</v>
      </c>
      <c r="S11">
        <v>2</v>
      </c>
      <c r="T11">
        <v>0</v>
      </c>
      <c r="U11">
        <v>0</v>
      </c>
      <c r="V11">
        <v>2020</v>
      </c>
      <c r="W11">
        <v>1589</v>
      </c>
      <c r="X11">
        <v>1335</v>
      </c>
      <c r="Y11">
        <v>756404</v>
      </c>
      <c r="Z11">
        <v>9036</v>
      </c>
      <c r="AA11">
        <v>5198</v>
      </c>
      <c r="AB11">
        <v>4690</v>
      </c>
      <c r="AC11">
        <v>23325</v>
      </c>
      <c r="AD11">
        <v>9243</v>
      </c>
      <c r="AE11">
        <v>3599</v>
      </c>
      <c r="AF11">
        <v>9530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6045342</v>
      </c>
      <c r="F12">
        <v>153314</v>
      </c>
      <c r="G12">
        <v>2075637</v>
      </c>
      <c r="H12">
        <v>2075637</v>
      </c>
      <c r="I12">
        <v>3969705</v>
      </c>
      <c r="J12">
        <v>0</v>
      </c>
      <c r="K12" s="1">
        <v>264</v>
      </c>
      <c r="L12" s="1">
        <v>264</v>
      </c>
      <c r="M12">
        <v>1</v>
      </c>
      <c r="N12">
        <v>22</v>
      </c>
      <c r="O12">
        <v>49</v>
      </c>
      <c r="P12">
        <v>76</v>
      </c>
      <c r="Q12">
        <v>86</v>
      </c>
      <c r="R12">
        <v>29</v>
      </c>
      <c r="S12">
        <v>1</v>
      </c>
      <c r="T12">
        <v>0</v>
      </c>
      <c r="U12">
        <v>0</v>
      </c>
      <c r="V12">
        <v>96573</v>
      </c>
      <c r="W12">
        <v>47183</v>
      </c>
      <c r="X12">
        <v>64124</v>
      </c>
      <c r="Y12">
        <v>762081</v>
      </c>
      <c r="Z12">
        <v>166252</v>
      </c>
      <c r="AA12">
        <v>190939</v>
      </c>
      <c r="AB12">
        <v>224821</v>
      </c>
      <c r="AC12">
        <v>304417</v>
      </c>
      <c r="AD12">
        <v>274515</v>
      </c>
      <c r="AE12">
        <v>144029</v>
      </c>
      <c r="AF12">
        <v>216196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6244542</v>
      </c>
      <c r="F13">
        <v>158043</v>
      </c>
      <c r="G13">
        <v>2048396</v>
      </c>
      <c r="H13">
        <v>2048396</v>
      </c>
      <c r="I13">
        <v>4196146</v>
      </c>
      <c r="J13">
        <v>0</v>
      </c>
      <c r="K13" s="1">
        <v>19462</v>
      </c>
      <c r="L13" s="1">
        <v>19462</v>
      </c>
      <c r="M13">
        <v>0</v>
      </c>
      <c r="N13">
        <v>32</v>
      </c>
      <c r="O13">
        <v>3745</v>
      </c>
      <c r="P13">
        <v>6601</v>
      </c>
      <c r="Q13">
        <v>7155</v>
      </c>
      <c r="R13">
        <v>1929</v>
      </c>
      <c r="S13">
        <v>0</v>
      </c>
      <c r="T13">
        <v>0</v>
      </c>
      <c r="U13">
        <v>0</v>
      </c>
      <c r="V13">
        <v>69551</v>
      </c>
      <c r="W13">
        <v>43380</v>
      </c>
      <c r="X13">
        <v>49852</v>
      </c>
      <c r="Y13">
        <v>725491</v>
      </c>
      <c r="Z13">
        <v>192600</v>
      </c>
      <c r="AA13">
        <v>156311</v>
      </c>
      <c r="AB13">
        <v>169255</v>
      </c>
      <c r="AC13">
        <v>372083</v>
      </c>
      <c r="AD13">
        <v>247679</v>
      </c>
      <c r="AE13">
        <v>119836</v>
      </c>
      <c r="AF13">
        <v>208462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4696741</v>
      </c>
      <c r="G14">
        <v>0</v>
      </c>
      <c r="H14">
        <v>0</v>
      </c>
      <c r="I14">
        <v>0</v>
      </c>
      <c r="J14">
        <v>0</v>
      </c>
      <c r="K14" s="1">
        <v>0</v>
      </c>
      <c r="L14" s="1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6037392</v>
      </c>
      <c r="F15">
        <v>151685</v>
      </c>
      <c r="G15">
        <v>2166144</v>
      </c>
      <c r="H15">
        <v>2166144</v>
      </c>
      <c r="I15">
        <v>3871248</v>
      </c>
      <c r="J15">
        <v>0</v>
      </c>
      <c r="K15" s="1">
        <v>10318</v>
      </c>
      <c r="L15" s="1">
        <v>10318</v>
      </c>
      <c r="M15">
        <v>3</v>
      </c>
      <c r="N15">
        <v>22</v>
      </c>
      <c r="O15">
        <v>2323</v>
      </c>
      <c r="P15">
        <v>2956</v>
      </c>
      <c r="Q15">
        <v>3371</v>
      </c>
      <c r="R15">
        <v>1642</v>
      </c>
      <c r="S15">
        <v>0</v>
      </c>
      <c r="T15">
        <v>1</v>
      </c>
      <c r="U15">
        <v>0</v>
      </c>
      <c r="V15">
        <v>108385</v>
      </c>
      <c r="W15">
        <v>55101</v>
      </c>
      <c r="X15">
        <v>70227</v>
      </c>
      <c r="Y15">
        <v>765758</v>
      </c>
      <c r="Z15">
        <v>161792</v>
      </c>
      <c r="AA15">
        <v>218587</v>
      </c>
      <c r="AB15">
        <v>248839</v>
      </c>
      <c r="AC15">
        <v>320705</v>
      </c>
      <c r="AD15">
        <v>285475</v>
      </c>
      <c r="AE15">
        <v>158703</v>
      </c>
      <c r="AF15">
        <v>229674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6052783</v>
      </c>
      <c r="F16">
        <v>146158</v>
      </c>
      <c r="G16">
        <v>1830432</v>
      </c>
      <c r="H16">
        <v>1830432</v>
      </c>
      <c r="I16">
        <v>4222351</v>
      </c>
      <c r="J16">
        <v>0</v>
      </c>
      <c r="K16" s="1">
        <v>753</v>
      </c>
      <c r="L16" s="1">
        <v>753</v>
      </c>
      <c r="M16">
        <v>1</v>
      </c>
      <c r="N16">
        <v>23</v>
      </c>
      <c r="O16">
        <v>169</v>
      </c>
      <c r="P16">
        <v>173</v>
      </c>
      <c r="Q16">
        <v>292</v>
      </c>
      <c r="R16">
        <v>92</v>
      </c>
      <c r="S16">
        <v>3</v>
      </c>
      <c r="T16">
        <v>0</v>
      </c>
      <c r="U16">
        <v>0</v>
      </c>
      <c r="V16">
        <v>45471</v>
      </c>
      <c r="W16">
        <v>52456</v>
      </c>
      <c r="X16">
        <v>48274</v>
      </c>
      <c r="Y16">
        <v>767307</v>
      </c>
      <c r="Z16">
        <v>92632</v>
      </c>
      <c r="AA16">
        <v>150383</v>
      </c>
      <c r="AB16">
        <v>142019</v>
      </c>
      <c r="AC16">
        <v>416783</v>
      </c>
      <c r="AD16">
        <v>150037</v>
      </c>
      <c r="AE16">
        <v>73329</v>
      </c>
      <c r="AF16">
        <v>183390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6028885</v>
      </c>
      <c r="F17">
        <v>147148</v>
      </c>
      <c r="G17">
        <v>684620</v>
      </c>
      <c r="H17">
        <v>684620</v>
      </c>
      <c r="I17">
        <v>5344265</v>
      </c>
      <c r="J17">
        <v>0</v>
      </c>
      <c r="K17" s="1">
        <v>178</v>
      </c>
      <c r="L17" s="1">
        <v>178</v>
      </c>
      <c r="M17">
        <v>0</v>
      </c>
      <c r="N17">
        <v>3</v>
      </c>
      <c r="O17">
        <v>1</v>
      </c>
      <c r="P17">
        <v>61</v>
      </c>
      <c r="Q17">
        <v>112</v>
      </c>
      <c r="R17">
        <v>1</v>
      </c>
      <c r="S17">
        <v>0</v>
      </c>
      <c r="T17">
        <v>0</v>
      </c>
      <c r="U17">
        <v>0</v>
      </c>
      <c r="V17">
        <v>607</v>
      </c>
      <c r="W17">
        <v>513</v>
      </c>
      <c r="X17">
        <v>439</v>
      </c>
      <c r="Y17">
        <v>656080</v>
      </c>
      <c r="Z17">
        <v>5179</v>
      </c>
      <c r="AA17">
        <v>1633</v>
      </c>
      <c r="AB17">
        <v>1485</v>
      </c>
      <c r="AC17">
        <v>12108</v>
      </c>
      <c r="AD17">
        <v>3435</v>
      </c>
      <c r="AE17">
        <v>1286</v>
      </c>
      <c r="AF17">
        <v>4793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6154947</v>
      </c>
      <c r="F18">
        <v>101687</v>
      </c>
      <c r="G18">
        <v>1279252</v>
      </c>
      <c r="H18">
        <v>1278237</v>
      </c>
      <c r="I18">
        <v>10805001</v>
      </c>
      <c r="J18">
        <v>225641</v>
      </c>
      <c r="K18" s="1">
        <v>2053</v>
      </c>
      <c r="L18" s="1">
        <v>2066</v>
      </c>
      <c r="M18">
        <v>1</v>
      </c>
      <c r="N18">
        <v>2</v>
      </c>
      <c r="O18">
        <v>11</v>
      </c>
      <c r="P18">
        <v>992</v>
      </c>
      <c r="Q18">
        <v>1050</v>
      </c>
      <c r="R18">
        <v>8</v>
      </c>
      <c r="S18">
        <v>2</v>
      </c>
      <c r="T18">
        <v>0</v>
      </c>
      <c r="U18">
        <v>1015</v>
      </c>
      <c r="V18">
        <v>707</v>
      </c>
      <c r="W18">
        <v>774</v>
      </c>
      <c r="X18">
        <v>660</v>
      </c>
      <c r="Y18">
        <v>1246731</v>
      </c>
      <c r="Z18">
        <v>3392</v>
      </c>
      <c r="AA18">
        <v>2255</v>
      </c>
      <c r="AB18">
        <v>2027</v>
      </c>
      <c r="AC18">
        <v>12870</v>
      </c>
      <c r="AD18">
        <v>2815</v>
      </c>
      <c r="AE18">
        <v>1496</v>
      </c>
      <c r="AF18">
        <v>6726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6101714</v>
      </c>
      <c r="F19">
        <v>185835</v>
      </c>
      <c r="G19">
        <v>617921</v>
      </c>
      <c r="H19">
        <v>617921</v>
      </c>
      <c r="I19">
        <v>5483793</v>
      </c>
      <c r="J19">
        <v>0</v>
      </c>
      <c r="K19" s="1">
        <v>163</v>
      </c>
      <c r="L19" s="1">
        <v>163</v>
      </c>
      <c r="M19">
        <v>2</v>
      </c>
      <c r="N19">
        <v>0</v>
      </c>
      <c r="O19">
        <v>3</v>
      </c>
      <c r="P19">
        <v>82</v>
      </c>
      <c r="Q19">
        <v>71</v>
      </c>
      <c r="R19">
        <v>0</v>
      </c>
      <c r="S19">
        <v>5</v>
      </c>
      <c r="T19">
        <v>0</v>
      </c>
      <c r="U19">
        <v>0</v>
      </c>
      <c r="V19">
        <v>381</v>
      </c>
      <c r="W19">
        <v>890</v>
      </c>
      <c r="X19">
        <v>360</v>
      </c>
      <c r="Y19">
        <v>590148</v>
      </c>
      <c r="Z19">
        <v>2152</v>
      </c>
      <c r="AA19">
        <v>2161</v>
      </c>
      <c r="AB19">
        <v>1101</v>
      </c>
      <c r="AC19">
        <v>16643</v>
      </c>
      <c r="AD19">
        <v>1692</v>
      </c>
      <c r="AE19">
        <v>717</v>
      </c>
      <c r="AF19">
        <v>4775</v>
      </c>
    </row>
    <row r="20" spans="1:32" x14ac:dyDescent="0.2">
      <c r="A20" t="s">
        <v>8</v>
      </c>
      <c r="B20" t="s">
        <v>7</v>
      </c>
      <c r="C20" t="s">
        <v>6</v>
      </c>
      <c r="D20">
        <v>9009</v>
      </c>
      <c r="E20">
        <v>6049925</v>
      </c>
      <c r="F20">
        <v>147285</v>
      </c>
      <c r="G20">
        <v>2182660</v>
      </c>
      <c r="H20">
        <v>2182660</v>
      </c>
      <c r="I20">
        <v>3867265</v>
      </c>
      <c r="J20">
        <v>0</v>
      </c>
      <c r="K20" s="1">
        <v>224</v>
      </c>
      <c r="L20" s="1">
        <v>224</v>
      </c>
      <c r="M20">
        <v>0</v>
      </c>
      <c r="N20">
        <v>28</v>
      </c>
      <c r="O20">
        <v>35</v>
      </c>
      <c r="P20">
        <v>64</v>
      </c>
      <c r="Q20">
        <v>76</v>
      </c>
      <c r="R20">
        <v>20</v>
      </c>
      <c r="S20">
        <v>0</v>
      </c>
      <c r="T20">
        <v>1</v>
      </c>
      <c r="U20">
        <v>0</v>
      </c>
      <c r="V20">
        <v>120192</v>
      </c>
      <c r="W20">
        <v>55061</v>
      </c>
      <c r="X20">
        <v>76477</v>
      </c>
      <c r="Y20">
        <v>770754</v>
      </c>
      <c r="Z20">
        <v>157432</v>
      </c>
      <c r="AA20">
        <v>230314</v>
      </c>
      <c r="AB20">
        <v>273146</v>
      </c>
      <c r="AC20">
        <v>298856</v>
      </c>
      <c r="AD20">
        <v>294122</v>
      </c>
      <c r="AE20">
        <v>170146</v>
      </c>
      <c r="AF20">
        <v>239390</v>
      </c>
    </row>
    <row r="21" spans="1:32" x14ac:dyDescent="0.2">
      <c r="A21" t="s">
        <v>8</v>
      </c>
      <c r="B21" t="s">
        <v>7</v>
      </c>
      <c r="C21" t="s">
        <v>6</v>
      </c>
      <c r="D21">
        <v>9885</v>
      </c>
      <c r="E21">
        <v>6068248</v>
      </c>
      <c r="F21">
        <v>149526</v>
      </c>
      <c r="G21">
        <v>2204709</v>
      </c>
      <c r="H21">
        <v>2204709</v>
      </c>
      <c r="I21">
        <v>3863539</v>
      </c>
      <c r="J21">
        <v>0</v>
      </c>
      <c r="K21" s="1">
        <v>22053</v>
      </c>
      <c r="L21" s="1">
        <v>22053</v>
      </c>
      <c r="M21">
        <v>1</v>
      </c>
      <c r="N21">
        <v>29</v>
      </c>
      <c r="O21">
        <v>5228</v>
      </c>
      <c r="P21">
        <v>6007</v>
      </c>
      <c r="Q21">
        <v>7664</v>
      </c>
      <c r="R21">
        <v>3120</v>
      </c>
      <c r="S21">
        <v>4</v>
      </c>
      <c r="T21">
        <v>0</v>
      </c>
      <c r="U21">
        <v>0</v>
      </c>
      <c r="V21">
        <v>86800</v>
      </c>
      <c r="W21">
        <v>63217</v>
      </c>
      <c r="X21">
        <v>63404</v>
      </c>
      <c r="Y21">
        <v>773961</v>
      </c>
      <c r="Z21">
        <v>149728</v>
      </c>
      <c r="AA21">
        <v>213234</v>
      </c>
      <c r="AB21">
        <v>213608</v>
      </c>
      <c r="AC21">
        <v>438059</v>
      </c>
      <c r="AD21">
        <v>271281</v>
      </c>
      <c r="AE21">
        <v>125697</v>
      </c>
      <c r="AF21">
        <v>210507</v>
      </c>
    </row>
    <row r="22" spans="1:32" x14ac:dyDescent="0.2">
      <c r="A22" t="s">
        <v>8</v>
      </c>
      <c r="B22" t="s">
        <v>7</v>
      </c>
      <c r="C22" t="s">
        <v>6</v>
      </c>
      <c r="D22" t="s">
        <v>5</v>
      </c>
      <c r="E22">
        <v>14068379</v>
      </c>
      <c r="F22">
        <v>3779</v>
      </c>
      <c r="G22">
        <v>104088487</v>
      </c>
      <c r="H22">
        <v>30720914</v>
      </c>
      <c r="I22">
        <v>170547002</v>
      </c>
      <c r="J22">
        <v>6732091</v>
      </c>
      <c r="K22" s="1">
        <v>699979</v>
      </c>
      <c r="L22" s="1">
        <v>753994</v>
      </c>
      <c r="M22">
        <v>67</v>
      </c>
      <c r="N22">
        <v>122562</v>
      </c>
      <c r="O22">
        <v>71535</v>
      </c>
      <c r="P22">
        <v>235529</v>
      </c>
      <c r="Q22">
        <v>208900</v>
      </c>
      <c r="R22">
        <v>49316</v>
      </c>
      <c r="S22">
        <v>45</v>
      </c>
      <c r="T22">
        <v>66036</v>
      </c>
      <c r="U22">
        <v>73367573</v>
      </c>
      <c r="V22">
        <v>1011311</v>
      </c>
      <c r="W22">
        <v>603193</v>
      </c>
      <c r="X22">
        <v>707494</v>
      </c>
      <c r="Y22">
        <v>14443739</v>
      </c>
      <c r="Z22">
        <v>1826299</v>
      </c>
      <c r="AA22">
        <v>2217697</v>
      </c>
      <c r="AB22">
        <v>2426299</v>
      </c>
      <c r="AC22">
        <v>4304547</v>
      </c>
      <c r="AD22">
        <v>2987579</v>
      </c>
      <c r="AE22">
        <v>1554992</v>
      </c>
      <c r="AF22">
        <v>2527623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D56E-6239-C144-B031-D300709D4E02}">
  <dimension ref="A1:AF22"/>
  <sheetViews>
    <sheetView workbookViewId="0">
      <selection activeCell="G4" activeCellId="1" sqref="E4:E22 G4:G22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40</v>
      </c>
    </row>
    <row r="3" spans="1:32" x14ac:dyDescent="0.2">
      <c r="A3" t="s">
        <v>42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s="1" t="s">
        <v>1</v>
      </c>
      <c r="L4" s="1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5803480</v>
      </c>
      <c r="F5">
        <v>170825</v>
      </c>
      <c r="G5">
        <v>898805</v>
      </c>
      <c r="H5">
        <v>898805</v>
      </c>
      <c r="I5">
        <v>4904675</v>
      </c>
      <c r="J5">
        <v>0</v>
      </c>
      <c r="K5" s="1">
        <v>794</v>
      </c>
      <c r="L5" s="1">
        <v>794</v>
      </c>
      <c r="M5">
        <v>1</v>
      </c>
      <c r="N5">
        <v>16</v>
      </c>
      <c r="O5">
        <v>35</v>
      </c>
      <c r="P5">
        <v>291</v>
      </c>
      <c r="Q5">
        <v>418</v>
      </c>
      <c r="R5">
        <v>31</v>
      </c>
      <c r="S5">
        <v>2</v>
      </c>
      <c r="T5">
        <v>0</v>
      </c>
      <c r="U5">
        <v>0</v>
      </c>
      <c r="V5">
        <v>14846</v>
      </c>
      <c r="W5">
        <v>13490</v>
      </c>
      <c r="X5">
        <v>13399</v>
      </c>
      <c r="Y5">
        <v>543337</v>
      </c>
      <c r="Z5">
        <v>43877</v>
      </c>
      <c r="AA5">
        <v>41826</v>
      </c>
      <c r="AB5">
        <v>41644</v>
      </c>
      <c r="AC5">
        <v>134731</v>
      </c>
      <c r="AD5">
        <v>55397</v>
      </c>
      <c r="AE5">
        <v>22915</v>
      </c>
      <c r="AF5">
        <v>56017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6073153</v>
      </c>
      <c r="F6">
        <v>160294</v>
      </c>
      <c r="G6">
        <v>1959609</v>
      </c>
      <c r="H6">
        <v>1959609</v>
      </c>
      <c r="I6">
        <v>4113544</v>
      </c>
      <c r="J6">
        <v>0</v>
      </c>
      <c r="K6" s="1">
        <v>16282</v>
      </c>
      <c r="L6" s="1">
        <v>16282</v>
      </c>
      <c r="M6">
        <v>1</v>
      </c>
      <c r="N6">
        <v>18</v>
      </c>
      <c r="O6">
        <v>5057</v>
      </c>
      <c r="P6">
        <v>3846</v>
      </c>
      <c r="Q6">
        <v>4846</v>
      </c>
      <c r="R6">
        <v>2514</v>
      </c>
      <c r="S6">
        <v>0</v>
      </c>
      <c r="T6">
        <v>0</v>
      </c>
      <c r="U6">
        <v>0</v>
      </c>
      <c r="V6">
        <v>96201</v>
      </c>
      <c r="W6">
        <v>66905</v>
      </c>
      <c r="X6">
        <v>71820</v>
      </c>
      <c r="Y6">
        <v>492672</v>
      </c>
      <c r="Z6">
        <v>144958</v>
      </c>
      <c r="AA6">
        <v>230011</v>
      </c>
      <c r="AB6">
        <v>239841</v>
      </c>
      <c r="AC6">
        <v>433521</v>
      </c>
      <c r="AD6">
        <v>282313</v>
      </c>
      <c r="AE6">
        <v>128916</v>
      </c>
      <c r="AF6">
        <v>226016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5849233</v>
      </c>
      <c r="F7">
        <v>151974</v>
      </c>
      <c r="G7">
        <v>1282980</v>
      </c>
      <c r="H7">
        <v>1282980</v>
      </c>
      <c r="I7">
        <v>4566253</v>
      </c>
      <c r="J7">
        <v>0</v>
      </c>
      <c r="K7" s="1">
        <v>17877</v>
      </c>
      <c r="L7" s="1">
        <v>17877</v>
      </c>
      <c r="M7">
        <v>8</v>
      </c>
      <c r="N7">
        <v>60</v>
      </c>
      <c r="O7">
        <v>2029</v>
      </c>
      <c r="P7">
        <v>4659</v>
      </c>
      <c r="Q7">
        <v>10116</v>
      </c>
      <c r="R7">
        <v>1005</v>
      </c>
      <c r="S7">
        <v>0</v>
      </c>
      <c r="T7">
        <v>0</v>
      </c>
      <c r="U7">
        <v>0</v>
      </c>
      <c r="V7">
        <v>27756</v>
      </c>
      <c r="W7">
        <v>18835</v>
      </c>
      <c r="X7">
        <v>19411</v>
      </c>
      <c r="Y7">
        <v>473403</v>
      </c>
      <c r="Z7">
        <v>164537</v>
      </c>
      <c r="AA7">
        <v>65426</v>
      </c>
      <c r="AB7">
        <v>66578</v>
      </c>
      <c r="AC7">
        <v>241382</v>
      </c>
      <c r="AD7">
        <v>159911</v>
      </c>
      <c r="AE7">
        <v>59860</v>
      </c>
      <c r="AF7">
        <v>100008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6526169</v>
      </c>
      <c r="F8">
        <v>68529</v>
      </c>
      <c r="G8">
        <v>5918718</v>
      </c>
      <c r="H8">
        <v>5563145</v>
      </c>
      <c r="I8">
        <v>13233056</v>
      </c>
      <c r="J8">
        <v>426733</v>
      </c>
      <c r="K8" s="1">
        <v>394255</v>
      </c>
      <c r="L8" s="1">
        <v>396196</v>
      </c>
      <c r="M8">
        <v>43</v>
      </c>
      <c r="N8">
        <v>123554</v>
      </c>
      <c r="O8">
        <v>51704</v>
      </c>
      <c r="P8">
        <v>58531</v>
      </c>
      <c r="Q8">
        <v>60839</v>
      </c>
      <c r="R8">
        <v>35492</v>
      </c>
      <c r="S8">
        <v>26</v>
      </c>
      <c r="T8">
        <v>66007</v>
      </c>
      <c r="U8">
        <v>355573</v>
      </c>
      <c r="V8">
        <v>294109</v>
      </c>
      <c r="W8">
        <v>161279</v>
      </c>
      <c r="X8">
        <v>186759</v>
      </c>
      <c r="Y8">
        <v>1342719</v>
      </c>
      <c r="Z8">
        <v>384392</v>
      </c>
      <c r="AA8">
        <v>616667</v>
      </c>
      <c r="AB8">
        <v>667627</v>
      </c>
      <c r="AC8">
        <v>1027984</v>
      </c>
      <c r="AD8">
        <v>753871</v>
      </c>
      <c r="AE8">
        <v>406679</v>
      </c>
      <c r="AF8">
        <v>609137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5890003</v>
      </c>
      <c r="F9">
        <v>148575</v>
      </c>
      <c r="G9">
        <v>1697437</v>
      </c>
      <c r="H9">
        <v>1697437</v>
      </c>
      <c r="I9">
        <v>4192566</v>
      </c>
      <c r="J9">
        <v>0</v>
      </c>
      <c r="K9" s="1">
        <v>14446</v>
      </c>
      <c r="L9" s="1">
        <v>14446</v>
      </c>
      <c r="M9">
        <v>1</v>
      </c>
      <c r="N9">
        <v>29</v>
      </c>
      <c r="O9">
        <v>3298</v>
      </c>
      <c r="P9">
        <v>3105</v>
      </c>
      <c r="Q9">
        <v>5735</v>
      </c>
      <c r="R9">
        <v>2278</v>
      </c>
      <c r="S9">
        <v>0</v>
      </c>
      <c r="T9">
        <v>0</v>
      </c>
      <c r="U9">
        <v>0</v>
      </c>
      <c r="V9">
        <v>67922</v>
      </c>
      <c r="W9">
        <v>36466</v>
      </c>
      <c r="X9">
        <v>48386</v>
      </c>
      <c r="Y9">
        <v>493968</v>
      </c>
      <c r="Z9">
        <v>161600</v>
      </c>
      <c r="AA9">
        <v>140854</v>
      </c>
      <c r="AB9">
        <v>164694</v>
      </c>
      <c r="AC9">
        <v>324155</v>
      </c>
      <c r="AD9">
        <v>253397</v>
      </c>
      <c r="AE9">
        <v>117147</v>
      </c>
      <c r="AF9">
        <v>179949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6011946</v>
      </c>
      <c r="F10">
        <v>73162</v>
      </c>
      <c r="G10">
        <v>1334178</v>
      </c>
      <c r="H10">
        <v>1331865</v>
      </c>
      <c r="I10">
        <v>10488508</v>
      </c>
      <c r="J10">
        <v>201206</v>
      </c>
      <c r="K10" s="1">
        <v>254657</v>
      </c>
      <c r="L10" s="1">
        <v>254806</v>
      </c>
      <c r="M10">
        <v>0</v>
      </c>
      <c r="N10">
        <v>4</v>
      </c>
      <c r="O10">
        <v>1</v>
      </c>
      <c r="P10">
        <v>143756</v>
      </c>
      <c r="Q10">
        <v>111042</v>
      </c>
      <c r="R10">
        <v>1</v>
      </c>
      <c r="S10">
        <v>2</v>
      </c>
      <c r="T10">
        <v>0</v>
      </c>
      <c r="U10">
        <v>2313</v>
      </c>
      <c r="V10">
        <v>6119</v>
      </c>
      <c r="W10">
        <v>1063</v>
      </c>
      <c r="X10">
        <v>947</v>
      </c>
      <c r="Y10">
        <v>959770</v>
      </c>
      <c r="Z10">
        <v>8523</v>
      </c>
      <c r="AA10">
        <v>8245</v>
      </c>
      <c r="AB10">
        <v>8013</v>
      </c>
      <c r="AC10">
        <v>41328</v>
      </c>
      <c r="AD10">
        <v>31542</v>
      </c>
      <c r="AE10">
        <v>11166</v>
      </c>
      <c r="AF10">
        <v>16600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5863673</v>
      </c>
      <c r="F11">
        <v>144462</v>
      </c>
      <c r="G11">
        <v>543602</v>
      </c>
      <c r="H11">
        <v>543602</v>
      </c>
      <c r="I11">
        <v>5320071</v>
      </c>
      <c r="J11">
        <v>0</v>
      </c>
      <c r="K11" s="1">
        <v>252</v>
      </c>
      <c r="L11" s="1">
        <v>252</v>
      </c>
      <c r="M11">
        <v>1</v>
      </c>
      <c r="N11">
        <v>4</v>
      </c>
      <c r="O11">
        <v>3</v>
      </c>
      <c r="P11">
        <v>83</v>
      </c>
      <c r="Q11">
        <v>157</v>
      </c>
      <c r="R11">
        <v>1</v>
      </c>
      <c r="S11">
        <v>3</v>
      </c>
      <c r="T11">
        <v>0</v>
      </c>
      <c r="U11">
        <v>0</v>
      </c>
      <c r="V11">
        <v>2046</v>
      </c>
      <c r="W11">
        <v>1569</v>
      </c>
      <c r="X11">
        <v>1256</v>
      </c>
      <c r="Y11">
        <v>485132</v>
      </c>
      <c r="Z11">
        <v>8766</v>
      </c>
      <c r="AA11">
        <v>5184</v>
      </c>
      <c r="AB11">
        <v>4558</v>
      </c>
      <c r="AC11">
        <v>23251</v>
      </c>
      <c r="AD11">
        <v>9570</v>
      </c>
      <c r="AE11">
        <v>3201</v>
      </c>
      <c r="AF11">
        <v>8559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5835508</v>
      </c>
      <c r="F12">
        <v>165727</v>
      </c>
      <c r="G12">
        <v>1796109</v>
      </c>
      <c r="H12">
        <v>1796109</v>
      </c>
      <c r="I12">
        <v>4039399</v>
      </c>
      <c r="J12">
        <v>0</v>
      </c>
      <c r="K12" s="1">
        <v>391</v>
      </c>
      <c r="L12" s="1">
        <v>391</v>
      </c>
      <c r="M12">
        <v>0</v>
      </c>
      <c r="N12">
        <v>32</v>
      </c>
      <c r="O12">
        <v>49</v>
      </c>
      <c r="P12">
        <v>142</v>
      </c>
      <c r="Q12">
        <v>134</v>
      </c>
      <c r="R12">
        <v>34</v>
      </c>
      <c r="S12">
        <v>0</v>
      </c>
      <c r="T12">
        <v>0</v>
      </c>
      <c r="U12">
        <v>0</v>
      </c>
      <c r="V12">
        <v>97057</v>
      </c>
      <c r="W12">
        <v>47308</v>
      </c>
      <c r="X12">
        <v>63914</v>
      </c>
      <c r="Y12">
        <v>486461</v>
      </c>
      <c r="Z12">
        <v>165857</v>
      </c>
      <c r="AA12">
        <v>191673</v>
      </c>
      <c r="AB12">
        <v>224885</v>
      </c>
      <c r="AC12">
        <v>305995</v>
      </c>
      <c r="AD12">
        <v>279603</v>
      </c>
      <c r="AE12">
        <v>137993</v>
      </c>
      <c r="AF12">
        <v>211528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6097028</v>
      </c>
      <c r="F13">
        <v>178628</v>
      </c>
      <c r="G13">
        <v>1808460</v>
      </c>
      <c r="H13">
        <v>1808460</v>
      </c>
      <c r="I13">
        <v>4288568</v>
      </c>
      <c r="J13">
        <v>0</v>
      </c>
      <c r="K13" s="1">
        <v>19884</v>
      </c>
      <c r="L13" s="1">
        <v>19884</v>
      </c>
      <c r="M13">
        <v>1</v>
      </c>
      <c r="N13">
        <v>43</v>
      </c>
      <c r="O13">
        <v>3948</v>
      </c>
      <c r="P13">
        <v>7921</v>
      </c>
      <c r="Q13">
        <v>6215</v>
      </c>
      <c r="R13">
        <v>1755</v>
      </c>
      <c r="S13">
        <v>0</v>
      </c>
      <c r="T13">
        <v>1</v>
      </c>
      <c r="U13">
        <v>0</v>
      </c>
      <c r="V13">
        <v>70225</v>
      </c>
      <c r="W13">
        <v>43187</v>
      </c>
      <c r="X13">
        <v>50350</v>
      </c>
      <c r="Y13">
        <v>487851</v>
      </c>
      <c r="Z13">
        <v>192857</v>
      </c>
      <c r="AA13">
        <v>156599</v>
      </c>
      <c r="AB13">
        <v>170925</v>
      </c>
      <c r="AC13">
        <v>378458</v>
      </c>
      <c r="AD13">
        <v>253356</v>
      </c>
      <c r="AE13">
        <v>114484</v>
      </c>
      <c r="AF13">
        <v>197807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4403543</v>
      </c>
      <c r="G14">
        <v>0</v>
      </c>
      <c r="H14">
        <v>0</v>
      </c>
      <c r="I14">
        <v>0</v>
      </c>
      <c r="J14">
        <v>0</v>
      </c>
      <c r="K14" s="1">
        <v>0</v>
      </c>
      <c r="L14" s="1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5854402</v>
      </c>
      <c r="F15">
        <v>173020</v>
      </c>
      <c r="G15">
        <v>1894703</v>
      </c>
      <c r="H15">
        <v>1894703</v>
      </c>
      <c r="I15">
        <v>3959699</v>
      </c>
      <c r="J15">
        <v>0</v>
      </c>
      <c r="K15" s="1">
        <v>10334</v>
      </c>
      <c r="L15" s="1">
        <v>10334</v>
      </c>
      <c r="M15">
        <v>1</v>
      </c>
      <c r="N15">
        <v>26</v>
      </c>
      <c r="O15">
        <v>2872</v>
      </c>
      <c r="P15">
        <v>2908</v>
      </c>
      <c r="Q15">
        <v>3339</v>
      </c>
      <c r="R15">
        <v>1188</v>
      </c>
      <c r="S15">
        <v>0</v>
      </c>
      <c r="T15">
        <v>0</v>
      </c>
      <c r="U15">
        <v>0</v>
      </c>
      <c r="V15">
        <v>108776</v>
      </c>
      <c r="W15">
        <v>52757</v>
      </c>
      <c r="X15">
        <v>73582</v>
      </c>
      <c r="Y15">
        <v>500623</v>
      </c>
      <c r="Z15">
        <v>161180</v>
      </c>
      <c r="AA15">
        <v>214290</v>
      </c>
      <c r="AB15">
        <v>255940</v>
      </c>
      <c r="AC15">
        <v>322829</v>
      </c>
      <c r="AD15">
        <v>291353</v>
      </c>
      <c r="AE15">
        <v>150105</v>
      </c>
      <c r="AF15">
        <v>223161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5859660</v>
      </c>
      <c r="F16">
        <v>164515</v>
      </c>
      <c r="G16">
        <v>1554550</v>
      </c>
      <c r="H16">
        <v>1554550</v>
      </c>
      <c r="I16">
        <v>4305110</v>
      </c>
      <c r="J16">
        <v>0</v>
      </c>
      <c r="K16" s="1">
        <v>1119</v>
      </c>
      <c r="L16" s="1">
        <v>1119</v>
      </c>
      <c r="M16">
        <v>1</v>
      </c>
      <c r="N16">
        <v>25</v>
      </c>
      <c r="O16">
        <v>154</v>
      </c>
      <c r="P16">
        <v>203</v>
      </c>
      <c r="Q16">
        <v>644</v>
      </c>
      <c r="R16">
        <v>92</v>
      </c>
      <c r="S16">
        <v>0</v>
      </c>
      <c r="T16">
        <v>0</v>
      </c>
      <c r="U16">
        <v>0</v>
      </c>
      <c r="V16">
        <v>45673</v>
      </c>
      <c r="W16">
        <v>53780</v>
      </c>
      <c r="X16">
        <v>48617</v>
      </c>
      <c r="Y16">
        <v>486893</v>
      </c>
      <c r="Z16">
        <v>92329</v>
      </c>
      <c r="AA16">
        <v>153233</v>
      </c>
      <c r="AB16">
        <v>142907</v>
      </c>
      <c r="AC16">
        <v>421161</v>
      </c>
      <c r="AD16">
        <v>154854</v>
      </c>
      <c r="AE16">
        <v>68472</v>
      </c>
      <c r="AF16">
        <v>181650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5837785</v>
      </c>
      <c r="F17">
        <v>165303</v>
      </c>
      <c r="G17">
        <v>451463</v>
      </c>
      <c r="H17">
        <v>451463</v>
      </c>
      <c r="I17">
        <v>5386322</v>
      </c>
      <c r="J17">
        <v>0</v>
      </c>
      <c r="K17" s="1">
        <v>169</v>
      </c>
      <c r="L17" s="1">
        <v>169</v>
      </c>
      <c r="M17">
        <v>1</v>
      </c>
      <c r="N17">
        <v>3</v>
      </c>
      <c r="O17">
        <v>1</v>
      </c>
      <c r="P17">
        <v>45</v>
      </c>
      <c r="Q17">
        <v>118</v>
      </c>
      <c r="R17">
        <v>1</v>
      </c>
      <c r="S17">
        <v>0</v>
      </c>
      <c r="T17">
        <v>0</v>
      </c>
      <c r="U17">
        <v>0</v>
      </c>
      <c r="V17">
        <v>538</v>
      </c>
      <c r="W17">
        <v>506</v>
      </c>
      <c r="X17">
        <v>406</v>
      </c>
      <c r="Y17">
        <v>423907</v>
      </c>
      <c r="Z17">
        <v>5003</v>
      </c>
      <c r="AA17">
        <v>1550</v>
      </c>
      <c r="AB17">
        <v>1350</v>
      </c>
      <c r="AC17">
        <v>11893</v>
      </c>
      <c r="AD17">
        <v>3511</v>
      </c>
      <c r="AE17">
        <v>1159</v>
      </c>
      <c r="AF17">
        <v>4371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5985086</v>
      </c>
      <c r="F18">
        <v>106711</v>
      </c>
      <c r="G18">
        <v>840582</v>
      </c>
      <c r="H18">
        <v>839000</v>
      </c>
      <c r="I18">
        <v>10867500</v>
      </c>
      <c r="J18">
        <v>262090</v>
      </c>
      <c r="K18" s="1">
        <v>2056</v>
      </c>
      <c r="L18" s="1">
        <v>2074</v>
      </c>
      <c r="M18">
        <v>2</v>
      </c>
      <c r="N18">
        <v>2</v>
      </c>
      <c r="O18">
        <v>11</v>
      </c>
      <c r="P18">
        <v>939</v>
      </c>
      <c r="Q18">
        <v>1113</v>
      </c>
      <c r="R18">
        <v>7</v>
      </c>
      <c r="S18">
        <v>0</v>
      </c>
      <c r="T18">
        <v>0</v>
      </c>
      <c r="U18">
        <v>1582</v>
      </c>
      <c r="V18">
        <v>693</v>
      </c>
      <c r="W18">
        <v>717</v>
      </c>
      <c r="X18">
        <v>615</v>
      </c>
      <c r="Y18">
        <v>808921</v>
      </c>
      <c r="Z18">
        <v>3224</v>
      </c>
      <c r="AA18">
        <v>2127</v>
      </c>
      <c r="AB18">
        <v>1923</v>
      </c>
      <c r="AC18">
        <v>12699</v>
      </c>
      <c r="AD18">
        <v>2787</v>
      </c>
      <c r="AE18">
        <v>1256</v>
      </c>
      <c r="AF18">
        <v>6014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5950918</v>
      </c>
      <c r="F19">
        <v>202812</v>
      </c>
      <c r="G19">
        <v>425582</v>
      </c>
      <c r="H19">
        <v>425582</v>
      </c>
      <c r="I19">
        <v>5525336</v>
      </c>
      <c r="J19">
        <v>0</v>
      </c>
      <c r="K19" s="1">
        <v>175</v>
      </c>
      <c r="L19" s="1">
        <v>175</v>
      </c>
      <c r="M19">
        <v>0</v>
      </c>
      <c r="N19">
        <v>0</v>
      </c>
      <c r="O19">
        <v>1</v>
      </c>
      <c r="P19">
        <v>49</v>
      </c>
      <c r="Q19">
        <v>122</v>
      </c>
      <c r="R19">
        <v>2</v>
      </c>
      <c r="S19">
        <v>1</v>
      </c>
      <c r="T19">
        <v>0</v>
      </c>
      <c r="U19">
        <v>0</v>
      </c>
      <c r="V19">
        <v>367</v>
      </c>
      <c r="W19">
        <v>778</v>
      </c>
      <c r="X19">
        <v>371</v>
      </c>
      <c r="Y19">
        <v>398609</v>
      </c>
      <c r="Z19">
        <v>1972</v>
      </c>
      <c r="AA19">
        <v>1923</v>
      </c>
      <c r="AB19">
        <v>1109</v>
      </c>
      <c r="AC19">
        <v>16667</v>
      </c>
      <c r="AD19">
        <v>1679</v>
      </c>
      <c r="AE19">
        <v>635</v>
      </c>
      <c r="AF19">
        <v>4329</v>
      </c>
    </row>
    <row r="20" spans="1:32" x14ac:dyDescent="0.2">
      <c r="A20" t="s">
        <v>8</v>
      </c>
      <c r="B20" t="s">
        <v>7</v>
      </c>
      <c r="C20" t="s">
        <v>6</v>
      </c>
      <c r="D20">
        <v>9009</v>
      </c>
      <c r="E20">
        <v>5867369</v>
      </c>
      <c r="F20">
        <v>164517</v>
      </c>
      <c r="G20">
        <v>1892726</v>
      </c>
      <c r="H20">
        <v>1892726</v>
      </c>
      <c r="I20">
        <v>3974643</v>
      </c>
      <c r="J20">
        <v>0</v>
      </c>
      <c r="K20" s="1">
        <v>319</v>
      </c>
      <c r="L20" s="1">
        <v>319</v>
      </c>
      <c r="M20">
        <v>1</v>
      </c>
      <c r="N20">
        <v>34</v>
      </c>
      <c r="O20">
        <v>56</v>
      </c>
      <c r="P20">
        <v>89</v>
      </c>
      <c r="Q20">
        <v>127</v>
      </c>
      <c r="R20">
        <v>11</v>
      </c>
      <c r="S20">
        <v>1</v>
      </c>
      <c r="T20">
        <v>0</v>
      </c>
      <c r="U20">
        <v>0</v>
      </c>
      <c r="V20">
        <v>120789</v>
      </c>
      <c r="W20">
        <v>52838</v>
      </c>
      <c r="X20">
        <v>80493</v>
      </c>
      <c r="Y20">
        <v>488989</v>
      </c>
      <c r="Z20">
        <v>156948</v>
      </c>
      <c r="AA20">
        <v>226465</v>
      </c>
      <c r="AB20">
        <v>281775</v>
      </c>
      <c r="AC20">
        <v>304527</v>
      </c>
      <c r="AD20">
        <v>300621</v>
      </c>
      <c r="AE20">
        <v>162073</v>
      </c>
      <c r="AF20">
        <v>225124</v>
      </c>
    </row>
    <row r="21" spans="1:32" x14ac:dyDescent="0.2">
      <c r="A21" t="s">
        <v>8</v>
      </c>
      <c r="B21" t="s">
        <v>7</v>
      </c>
      <c r="C21" t="s">
        <v>6</v>
      </c>
      <c r="D21">
        <v>9885</v>
      </c>
      <c r="E21">
        <v>5879716</v>
      </c>
      <c r="F21">
        <v>168265</v>
      </c>
      <c r="G21">
        <v>1924741</v>
      </c>
      <c r="H21">
        <v>1924741</v>
      </c>
      <c r="I21">
        <v>3954975</v>
      </c>
      <c r="J21">
        <v>0</v>
      </c>
      <c r="K21" s="1">
        <v>21960</v>
      </c>
      <c r="L21" s="1">
        <v>21960</v>
      </c>
      <c r="M21">
        <v>1</v>
      </c>
      <c r="N21">
        <v>28</v>
      </c>
      <c r="O21">
        <v>5552</v>
      </c>
      <c r="P21">
        <v>4778</v>
      </c>
      <c r="Q21">
        <v>8862</v>
      </c>
      <c r="R21">
        <v>2737</v>
      </c>
      <c r="S21">
        <v>2</v>
      </c>
      <c r="T21">
        <v>0</v>
      </c>
      <c r="U21">
        <v>0</v>
      </c>
      <c r="V21">
        <v>86721</v>
      </c>
      <c r="W21">
        <v>63124</v>
      </c>
      <c r="X21">
        <v>63267</v>
      </c>
      <c r="Y21">
        <v>497513</v>
      </c>
      <c r="Z21">
        <v>148968</v>
      </c>
      <c r="AA21">
        <v>212969</v>
      </c>
      <c r="AB21">
        <v>213255</v>
      </c>
      <c r="AC21">
        <v>448871</v>
      </c>
      <c r="AD21">
        <v>276108</v>
      </c>
      <c r="AE21">
        <v>120418</v>
      </c>
      <c r="AF21">
        <v>197788</v>
      </c>
    </row>
    <row r="22" spans="1:32" x14ac:dyDescent="0.2">
      <c r="A22" t="s">
        <v>8</v>
      </c>
      <c r="B22" t="s">
        <v>7</v>
      </c>
      <c r="C22" t="s">
        <v>6</v>
      </c>
      <c r="D22" t="s">
        <v>5</v>
      </c>
      <c r="E22">
        <v>14487104</v>
      </c>
      <c r="F22">
        <v>1807</v>
      </c>
      <c r="G22">
        <v>100465153</v>
      </c>
      <c r="H22">
        <v>25517485</v>
      </c>
      <c r="I22">
        <v>181568229</v>
      </c>
      <c r="J22">
        <v>7708698</v>
      </c>
      <c r="K22" s="1">
        <v>696695</v>
      </c>
      <c r="L22" s="1">
        <v>750067</v>
      </c>
      <c r="M22">
        <v>63</v>
      </c>
      <c r="N22">
        <v>122016</v>
      </c>
      <c r="O22">
        <v>74123</v>
      </c>
      <c r="P22">
        <v>229685</v>
      </c>
      <c r="Q22">
        <v>212044</v>
      </c>
      <c r="R22">
        <v>46653</v>
      </c>
      <c r="S22">
        <v>37</v>
      </c>
      <c r="T22">
        <v>65444</v>
      </c>
      <c r="U22">
        <v>74947668</v>
      </c>
      <c r="V22">
        <v>1013670</v>
      </c>
      <c r="W22">
        <v>601318</v>
      </c>
      <c r="X22">
        <v>713605</v>
      </c>
      <c r="Y22">
        <v>9298865</v>
      </c>
      <c r="Z22">
        <v>1822762</v>
      </c>
      <c r="AA22">
        <v>2216306</v>
      </c>
      <c r="AB22">
        <v>2440880</v>
      </c>
      <c r="AC22">
        <v>4363594</v>
      </c>
      <c r="AD22">
        <v>3046058</v>
      </c>
      <c r="AE22">
        <v>1484665</v>
      </c>
      <c r="AF22">
        <v>2422690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6D6F-9E94-4243-AD0B-4C33829588A5}">
  <dimension ref="A1:AF22"/>
  <sheetViews>
    <sheetView workbookViewId="0">
      <selection activeCell="I21" sqref="I21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40</v>
      </c>
    </row>
    <row r="3" spans="1:32" x14ac:dyDescent="0.2">
      <c r="A3" t="s">
        <v>42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138314</v>
      </c>
      <c r="F5">
        <v>1770</v>
      </c>
      <c r="G5">
        <v>21639</v>
      </c>
      <c r="H5">
        <v>21639</v>
      </c>
      <c r="I5">
        <v>116675</v>
      </c>
      <c r="J5">
        <v>0</v>
      </c>
      <c r="K5">
        <v>9</v>
      </c>
      <c r="L5">
        <v>9</v>
      </c>
      <c r="M5">
        <v>0</v>
      </c>
      <c r="N5">
        <v>0</v>
      </c>
      <c r="O5">
        <v>0</v>
      </c>
      <c r="P5">
        <v>3</v>
      </c>
      <c r="Q5">
        <v>6</v>
      </c>
      <c r="R5">
        <v>0</v>
      </c>
      <c r="S5">
        <v>0</v>
      </c>
      <c r="T5">
        <v>0</v>
      </c>
      <c r="U5">
        <v>0</v>
      </c>
      <c r="V5">
        <v>305</v>
      </c>
      <c r="W5">
        <v>277</v>
      </c>
      <c r="X5">
        <v>253</v>
      </c>
      <c r="Y5">
        <v>13926</v>
      </c>
      <c r="Z5">
        <v>941</v>
      </c>
      <c r="AA5">
        <v>859</v>
      </c>
      <c r="AB5">
        <v>811</v>
      </c>
      <c r="AC5">
        <v>3037</v>
      </c>
      <c r="AD5">
        <v>1201</v>
      </c>
      <c r="AE5">
        <v>462</v>
      </c>
      <c r="AF5">
        <v>1228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145215</v>
      </c>
      <c r="F6">
        <v>1502</v>
      </c>
      <c r="G6">
        <v>53131</v>
      </c>
      <c r="H6">
        <v>53131</v>
      </c>
      <c r="I6">
        <v>92084</v>
      </c>
      <c r="J6">
        <v>0</v>
      </c>
      <c r="K6">
        <v>243</v>
      </c>
      <c r="L6">
        <v>243</v>
      </c>
      <c r="M6">
        <v>0</v>
      </c>
      <c r="N6">
        <v>1</v>
      </c>
      <c r="O6">
        <v>78</v>
      </c>
      <c r="P6">
        <v>56</v>
      </c>
      <c r="Q6">
        <v>69</v>
      </c>
      <c r="R6">
        <v>39</v>
      </c>
      <c r="S6">
        <v>0</v>
      </c>
      <c r="T6">
        <v>0</v>
      </c>
      <c r="U6">
        <v>0</v>
      </c>
      <c r="V6">
        <v>2771</v>
      </c>
      <c r="W6">
        <v>1643</v>
      </c>
      <c r="X6">
        <v>2002</v>
      </c>
      <c r="Y6">
        <v>13104</v>
      </c>
      <c r="Z6">
        <v>3890</v>
      </c>
      <c r="AA6">
        <v>6057</v>
      </c>
      <c r="AB6">
        <v>6775</v>
      </c>
      <c r="AC6">
        <v>11710</v>
      </c>
      <c r="AD6">
        <v>8276</v>
      </c>
      <c r="AE6">
        <v>3497</v>
      </c>
      <c r="AF6">
        <v>5995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138899</v>
      </c>
      <c r="F7">
        <v>1371</v>
      </c>
      <c r="G7">
        <v>37243</v>
      </c>
      <c r="H7">
        <v>37243</v>
      </c>
      <c r="I7">
        <v>101656</v>
      </c>
      <c r="J7">
        <v>0</v>
      </c>
      <c r="K7">
        <v>240</v>
      </c>
      <c r="L7">
        <v>240</v>
      </c>
      <c r="M7">
        <v>0</v>
      </c>
      <c r="N7">
        <v>1</v>
      </c>
      <c r="O7">
        <v>42</v>
      </c>
      <c r="P7">
        <v>55</v>
      </c>
      <c r="Q7">
        <v>135</v>
      </c>
      <c r="R7">
        <v>7</v>
      </c>
      <c r="S7">
        <v>0</v>
      </c>
      <c r="T7">
        <v>0</v>
      </c>
      <c r="U7">
        <v>0</v>
      </c>
      <c r="V7">
        <v>903</v>
      </c>
      <c r="W7">
        <v>674</v>
      </c>
      <c r="X7">
        <v>663</v>
      </c>
      <c r="Y7">
        <v>12578</v>
      </c>
      <c r="Z7">
        <v>4541</v>
      </c>
      <c r="AA7">
        <v>2251</v>
      </c>
      <c r="AB7">
        <v>2229</v>
      </c>
      <c r="AC7">
        <v>7486</v>
      </c>
      <c r="AD7">
        <v>5083</v>
      </c>
      <c r="AE7">
        <v>1862</v>
      </c>
      <c r="AF7">
        <v>3213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152472</v>
      </c>
      <c r="F8">
        <v>453</v>
      </c>
      <c r="G8">
        <v>158182</v>
      </c>
      <c r="H8">
        <v>149465</v>
      </c>
      <c r="I8">
        <v>294994</v>
      </c>
      <c r="J8">
        <v>4240</v>
      </c>
      <c r="K8">
        <v>10209</v>
      </c>
      <c r="L8">
        <v>10226</v>
      </c>
      <c r="M8">
        <v>0</v>
      </c>
      <c r="N8">
        <v>3506</v>
      </c>
      <c r="O8">
        <v>1296</v>
      </c>
      <c r="P8">
        <v>1368</v>
      </c>
      <c r="Q8">
        <v>1394</v>
      </c>
      <c r="R8">
        <v>870</v>
      </c>
      <c r="S8">
        <v>0</v>
      </c>
      <c r="T8">
        <v>1792</v>
      </c>
      <c r="U8">
        <v>8717</v>
      </c>
      <c r="V8">
        <v>8601</v>
      </c>
      <c r="W8">
        <v>4472</v>
      </c>
      <c r="X8">
        <v>5095</v>
      </c>
      <c r="Y8">
        <v>35953</v>
      </c>
      <c r="Z8">
        <v>10121</v>
      </c>
      <c r="AA8">
        <v>17545</v>
      </c>
      <c r="AB8">
        <v>18791</v>
      </c>
      <c r="AC8">
        <v>26750</v>
      </c>
      <c r="AD8">
        <v>20976</v>
      </c>
      <c r="AE8">
        <v>11423</v>
      </c>
      <c r="AF8">
        <v>15848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139224</v>
      </c>
      <c r="F9">
        <v>1295</v>
      </c>
      <c r="G9">
        <v>46337</v>
      </c>
      <c r="H9">
        <v>46337</v>
      </c>
      <c r="I9">
        <v>92887</v>
      </c>
      <c r="J9">
        <v>0</v>
      </c>
      <c r="K9">
        <v>198</v>
      </c>
      <c r="L9">
        <v>198</v>
      </c>
      <c r="M9">
        <v>0</v>
      </c>
      <c r="N9">
        <v>0</v>
      </c>
      <c r="O9">
        <v>39</v>
      </c>
      <c r="P9">
        <v>58</v>
      </c>
      <c r="Q9">
        <v>71</v>
      </c>
      <c r="R9">
        <v>30</v>
      </c>
      <c r="S9">
        <v>0</v>
      </c>
      <c r="T9">
        <v>0</v>
      </c>
      <c r="U9">
        <v>0</v>
      </c>
      <c r="V9">
        <v>1914</v>
      </c>
      <c r="W9">
        <v>1045</v>
      </c>
      <c r="X9">
        <v>1464</v>
      </c>
      <c r="Y9">
        <v>13134</v>
      </c>
      <c r="Z9">
        <v>4259</v>
      </c>
      <c r="AA9">
        <v>4004</v>
      </c>
      <c r="AB9">
        <v>4842</v>
      </c>
      <c r="AC9">
        <v>8877</v>
      </c>
      <c r="AD9">
        <v>7213</v>
      </c>
      <c r="AE9">
        <v>3279</v>
      </c>
      <c r="AF9">
        <v>4954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141587</v>
      </c>
      <c r="F10">
        <v>537</v>
      </c>
      <c r="G10">
        <v>34167</v>
      </c>
      <c r="H10">
        <v>34148</v>
      </c>
      <c r="I10">
        <v>247082</v>
      </c>
      <c r="J10">
        <v>1925</v>
      </c>
      <c r="K10">
        <v>6236</v>
      </c>
      <c r="L10">
        <v>6236</v>
      </c>
      <c r="M10">
        <v>0</v>
      </c>
      <c r="N10">
        <v>0</v>
      </c>
      <c r="O10">
        <v>0</v>
      </c>
      <c r="P10">
        <v>3425</v>
      </c>
      <c r="Q10">
        <v>2811</v>
      </c>
      <c r="R10">
        <v>0</v>
      </c>
      <c r="S10">
        <v>0</v>
      </c>
      <c r="T10">
        <v>0</v>
      </c>
      <c r="U10">
        <v>19</v>
      </c>
      <c r="V10">
        <v>152</v>
      </c>
      <c r="W10">
        <v>22</v>
      </c>
      <c r="X10">
        <v>29</v>
      </c>
      <c r="Y10">
        <v>25206</v>
      </c>
      <c r="Z10">
        <v>170</v>
      </c>
      <c r="AA10">
        <v>196</v>
      </c>
      <c r="AB10">
        <v>210</v>
      </c>
      <c r="AC10">
        <v>914</v>
      </c>
      <c r="AD10">
        <v>762</v>
      </c>
      <c r="AE10">
        <v>262</v>
      </c>
      <c r="AF10">
        <v>395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140220</v>
      </c>
      <c r="F11">
        <v>1385</v>
      </c>
      <c r="G11">
        <v>13818</v>
      </c>
      <c r="H11">
        <v>13818</v>
      </c>
      <c r="I11">
        <v>126402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37</v>
      </c>
      <c r="W11">
        <v>21</v>
      </c>
      <c r="X11">
        <v>19</v>
      </c>
      <c r="Y11">
        <v>12732</v>
      </c>
      <c r="Z11">
        <v>161</v>
      </c>
      <c r="AA11">
        <v>79</v>
      </c>
      <c r="AB11">
        <v>75</v>
      </c>
      <c r="AC11">
        <v>479</v>
      </c>
      <c r="AD11">
        <v>163</v>
      </c>
      <c r="AE11">
        <v>65</v>
      </c>
      <c r="AF11">
        <v>141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139297</v>
      </c>
      <c r="F12">
        <v>1613</v>
      </c>
      <c r="G12">
        <v>48775</v>
      </c>
      <c r="H12">
        <v>48775</v>
      </c>
      <c r="I12">
        <v>90522</v>
      </c>
      <c r="J12">
        <v>0</v>
      </c>
      <c r="K12">
        <v>2</v>
      </c>
      <c r="L12">
        <v>2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2799</v>
      </c>
      <c r="W12">
        <v>1293</v>
      </c>
      <c r="X12">
        <v>1774</v>
      </c>
      <c r="Y12">
        <v>13021</v>
      </c>
      <c r="Z12">
        <v>4371</v>
      </c>
      <c r="AA12">
        <v>5385</v>
      </c>
      <c r="AB12">
        <v>6347</v>
      </c>
      <c r="AC12">
        <v>8278</v>
      </c>
      <c r="AD12">
        <v>7933</v>
      </c>
      <c r="AE12">
        <v>3670</v>
      </c>
      <c r="AF12">
        <v>5634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145133</v>
      </c>
      <c r="F13">
        <v>1720</v>
      </c>
      <c r="G13">
        <v>49722</v>
      </c>
      <c r="H13">
        <v>49722</v>
      </c>
      <c r="I13">
        <v>95411</v>
      </c>
      <c r="J13">
        <v>0</v>
      </c>
      <c r="K13">
        <v>213</v>
      </c>
      <c r="L13">
        <v>213</v>
      </c>
      <c r="M13">
        <v>0</v>
      </c>
      <c r="N13">
        <v>2</v>
      </c>
      <c r="O13">
        <v>56</v>
      </c>
      <c r="P13">
        <v>72</v>
      </c>
      <c r="Q13">
        <v>69</v>
      </c>
      <c r="R13">
        <v>14</v>
      </c>
      <c r="S13">
        <v>0</v>
      </c>
      <c r="T13">
        <v>0</v>
      </c>
      <c r="U13">
        <v>0</v>
      </c>
      <c r="V13">
        <v>1969</v>
      </c>
      <c r="W13">
        <v>1240</v>
      </c>
      <c r="X13">
        <v>1496</v>
      </c>
      <c r="Y13">
        <v>13479</v>
      </c>
      <c r="Z13">
        <v>5160</v>
      </c>
      <c r="AA13">
        <v>4449</v>
      </c>
      <c r="AB13">
        <v>4961</v>
      </c>
      <c r="AC13">
        <v>10041</v>
      </c>
      <c r="AD13">
        <v>7462</v>
      </c>
      <c r="AE13">
        <v>3185</v>
      </c>
      <c r="AF13">
        <v>5477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104057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139224</v>
      </c>
      <c r="F15">
        <v>1592</v>
      </c>
      <c r="G15">
        <v>50373</v>
      </c>
      <c r="H15">
        <v>50373</v>
      </c>
      <c r="I15">
        <v>88851</v>
      </c>
      <c r="J15">
        <v>0</v>
      </c>
      <c r="K15">
        <v>127</v>
      </c>
      <c r="L15">
        <v>127</v>
      </c>
      <c r="M15">
        <v>0</v>
      </c>
      <c r="N15">
        <v>1</v>
      </c>
      <c r="O15">
        <v>34</v>
      </c>
      <c r="P15">
        <v>35</v>
      </c>
      <c r="Q15">
        <v>42</v>
      </c>
      <c r="R15">
        <v>15</v>
      </c>
      <c r="S15">
        <v>0</v>
      </c>
      <c r="T15">
        <v>0</v>
      </c>
      <c r="U15">
        <v>0</v>
      </c>
      <c r="V15">
        <v>2952</v>
      </c>
      <c r="W15">
        <v>1409</v>
      </c>
      <c r="X15">
        <v>2042</v>
      </c>
      <c r="Y15">
        <v>13054</v>
      </c>
      <c r="Z15">
        <v>3947</v>
      </c>
      <c r="AA15">
        <v>5770</v>
      </c>
      <c r="AB15">
        <v>7036</v>
      </c>
      <c r="AC15">
        <v>9025</v>
      </c>
      <c r="AD15">
        <v>8049</v>
      </c>
      <c r="AE15">
        <v>4153</v>
      </c>
      <c r="AF15">
        <v>5615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139036</v>
      </c>
      <c r="F16">
        <v>1573</v>
      </c>
      <c r="G16">
        <v>43740</v>
      </c>
      <c r="H16">
        <v>43740</v>
      </c>
      <c r="I16">
        <v>95296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1399</v>
      </c>
      <c r="W16">
        <v>1525</v>
      </c>
      <c r="X16">
        <v>1437</v>
      </c>
      <c r="Y16">
        <v>12866</v>
      </c>
      <c r="Z16">
        <v>2586</v>
      </c>
      <c r="AA16">
        <v>4449</v>
      </c>
      <c r="AB16">
        <v>4273</v>
      </c>
      <c r="AC16">
        <v>11636</v>
      </c>
      <c r="AD16">
        <v>5015</v>
      </c>
      <c r="AE16">
        <v>2168</v>
      </c>
      <c r="AF16">
        <v>5107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139445</v>
      </c>
      <c r="F17">
        <v>1616</v>
      </c>
      <c r="G17">
        <v>11997</v>
      </c>
      <c r="H17">
        <v>11997</v>
      </c>
      <c r="I17">
        <v>127448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>
        <v>13</v>
      </c>
      <c r="X17">
        <v>7</v>
      </c>
      <c r="Y17">
        <v>11402</v>
      </c>
      <c r="Z17">
        <v>110</v>
      </c>
      <c r="AA17">
        <v>36</v>
      </c>
      <c r="AB17">
        <v>24</v>
      </c>
      <c r="AC17">
        <v>268</v>
      </c>
      <c r="AD17">
        <v>56</v>
      </c>
      <c r="AE17">
        <v>27</v>
      </c>
      <c r="AF17">
        <v>104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141760</v>
      </c>
      <c r="F18">
        <v>1041</v>
      </c>
      <c r="G18">
        <v>22589</v>
      </c>
      <c r="H18">
        <v>22581</v>
      </c>
      <c r="I18">
        <v>257888</v>
      </c>
      <c r="J18">
        <v>3043</v>
      </c>
      <c r="K18">
        <v>20</v>
      </c>
      <c r="L18">
        <v>20</v>
      </c>
      <c r="M18">
        <v>0</v>
      </c>
      <c r="N18">
        <v>0</v>
      </c>
      <c r="O18">
        <v>0</v>
      </c>
      <c r="P18">
        <v>7</v>
      </c>
      <c r="Q18">
        <v>13</v>
      </c>
      <c r="R18">
        <v>0</v>
      </c>
      <c r="S18">
        <v>0</v>
      </c>
      <c r="T18">
        <v>0</v>
      </c>
      <c r="U18">
        <v>8</v>
      </c>
      <c r="V18">
        <v>18</v>
      </c>
      <c r="W18">
        <v>13</v>
      </c>
      <c r="X18">
        <v>15</v>
      </c>
      <c r="Y18">
        <v>21998</v>
      </c>
      <c r="Z18">
        <v>70</v>
      </c>
      <c r="AA18">
        <v>44</v>
      </c>
      <c r="AB18">
        <v>48</v>
      </c>
      <c r="AC18">
        <v>243</v>
      </c>
      <c r="AD18">
        <v>50</v>
      </c>
      <c r="AE18">
        <v>20</v>
      </c>
      <c r="AF18">
        <v>134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142475</v>
      </c>
      <c r="F19">
        <v>2686</v>
      </c>
      <c r="G19">
        <v>11087</v>
      </c>
      <c r="H19">
        <v>11087</v>
      </c>
      <c r="I19">
        <v>131388</v>
      </c>
      <c r="J19">
        <v>0</v>
      </c>
      <c r="K19">
        <v>4</v>
      </c>
      <c r="L19">
        <v>4</v>
      </c>
      <c r="M19">
        <v>0</v>
      </c>
      <c r="N19">
        <v>0</v>
      </c>
      <c r="O19">
        <v>0</v>
      </c>
      <c r="P19">
        <v>3</v>
      </c>
      <c r="Q19">
        <v>1</v>
      </c>
      <c r="R19">
        <v>0</v>
      </c>
      <c r="S19">
        <v>0</v>
      </c>
      <c r="T19">
        <v>0</v>
      </c>
      <c r="U19">
        <v>0</v>
      </c>
      <c r="V19">
        <v>6</v>
      </c>
      <c r="W19">
        <v>12</v>
      </c>
      <c r="X19">
        <v>7</v>
      </c>
      <c r="Y19">
        <v>10492</v>
      </c>
      <c r="Z19">
        <v>48</v>
      </c>
      <c r="AA19">
        <v>30</v>
      </c>
      <c r="AB19">
        <v>20</v>
      </c>
      <c r="AC19">
        <v>357</v>
      </c>
      <c r="AD19">
        <v>43</v>
      </c>
      <c r="AE19">
        <v>9</v>
      </c>
      <c r="AF19">
        <v>109</v>
      </c>
    </row>
    <row r="20" spans="1:32" x14ac:dyDescent="0.2">
      <c r="A20" t="s">
        <v>8</v>
      </c>
      <c r="B20" t="s">
        <v>7</v>
      </c>
      <c r="C20" t="s">
        <v>6</v>
      </c>
      <c r="D20">
        <v>9009</v>
      </c>
      <c r="E20">
        <v>139219</v>
      </c>
      <c r="F20">
        <v>1504</v>
      </c>
      <c r="G20">
        <v>50365</v>
      </c>
      <c r="H20">
        <v>50365</v>
      </c>
      <c r="I20">
        <v>88854</v>
      </c>
      <c r="J20">
        <v>0</v>
      </c>
      <c r="K20">
        <v>6</v>
      </c>
      <c r="L20">
        <v>6</v>
      </c>
      <c r="M20">
        <v>0</v>
      </c>
      <c r="N20">
        <v>1</v>
      </c>
      <c r="O20">
        <v>2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3116</v>
      </c>
      <c r="W20">
        <v>1475</v>
      </c>
      <c r="X20">
        <v>2080</v>
      </c>
      <c r="Y20">
        <v>12914</v>
      </c>
      <c r="Z20">
        <v>4169</v>
      </c>
      <c r="AA20">
        <v>6066</v>
      </c>
      <c r="AB20">
        <v>7276</v>
      </c>
      <c r="AC20">
        <v>8239</v>
      </c>
      <c r="AD20">
        <v>8198</v>
      </c>
      <c r="AE20">
        <v>4361</v>
      </c>
      <c r="AF20">
        <v>5807</v>
      </c>
    </row>
    <row r="21" spans="1:32" x14ac:dyDescent="0.2">
      <c r="A21" t="s">
        <v>8</v>
      </c>
      <c r="B21" t="s">
        <v>7</v>
      </c>
      <c r="C21" t="s">
        <v>6</v>
      </c>
      <c r="D21">
        <v>9885</v>
      </c>
      <c r="E21">
        <v>140289</v>
      </c>
      <c r="F21">
        <v>1540</v>
      </c>
      <c r="G21">
        <v>53702</v>
      </c>
      <c r="H21">
        <v>53702</v>
      </c>
      <c r="I21">
        <v>86587</v>
      </c>
      <c r="J21">
        <v>0</v>
      </c>
      <c r="K21">
        <v>285</v>
      </c>
      <c r="L21">
        <v>285</v>
      </c>
      <c r="M21">
        <v>0</v>
      </c>
      <c r="N21">
        <v>1</v>
      </c>
      <c r="O21">
        <v>55</v>
      </c>
      <c r="P21">
        <v>65</v>
      </c>
      <c r="Q21">
        <v>121</v>
      </c>
      <c r="R21">
        <v>43</v>
      </c>
      <c r="S21">
        <v>0</v>
      </c>
      <c r="T21">
        <v>0</v>
      </c>
      <c r="U21">
        <v>0</v>
      </c>
      <c r="V21">
        <v>2565</v>
      </c>
      <c r="W21">
        <v>1796</v>
      </c>
      <c r="X21">
        <v>1788</v>
      </c>
      <c r="Y21">
        <v>13215</v>
      </c>
      <c r="Z21">
        <v>4348</v>
      </c>
      <c r="AA21">
        <v>6157</v>
      </c>
      <c r="AB21">
        <v>6141</v>
      </c>
      <c r="AC21">
        <v>12279</v>
      </c>
      <c r="AD21">
        <v>8423</v>
      </c>
      <c r="AE21">
        <v>3580</v>
      </c>
      <c r="AF21">
        <v>5423</v>
      </c>
    </row>
    <row r="22" spans="1:32" x14ac:dyDescent="0.2">
      <c r="A22" t="s">
        <v>8</v>
      </c>
      <c r="B22" t="s">
        <v>7</v>
      </c>
      <c r="C22" t="s">
        <v>6</v>
      </c>
      <c r="D22" t="s">
        <v>5</v>
      </c>
      <c r="E22">
        <v>372861</v>
      </c>
      <c r="F22">
        <v>12</v>
      </c>
      <c r="G22">
        <v>2835345</v>
      </c>
      <c r="H22">
        <v>690757</v>
      </c>
      <c r="I22">
        <v>4553237</v>
      </c>
      <c r="J22">
        <v>68638</v>
      </c>
      <c r="K22">
        <v>16780</v>
      </c>
      <c r="L22">
        <v>17674</v>
      </c>
      <c r="M22">
        <v>0</v>
      </c>
      <c r="N22">
        <v>3471</v>
      </c>
      <c r="O22">
        <v>1589</v>
      </c>
      <c r="P22">
        <v>5126</v>
      </c>
      <c r="Q22">
        <v>4701</v>
      </c>
      <c r="R22">
        <v>1008</v>
      </c>
      <c r="S22">
        <v>0</v>
      </c>
      <c r="T22">
        <v>1779</v>
      </c>
      <c r="U22">
        <v>2144588</v>
      </c>
      <c r="V22">
        <v>28997</v>
      </c>
      <c r="W22">
        <v>16659</v>
      </c>
      <c r="X22">
        <v>19952</v>
      </c>
      <c r="Y22">
        <v>247406</v>
      </c>
      <c r="Z22">
        <v>48407</v>
      </c>
      <c r="AA22">
        <v>62315</v>
      </c>
      <c r="AB22">
        <v>68901</v>
      </c>
      <c r="AC22">
        <v>117918</v>
      </c>
      <c r="AD22">
        <v>87576</v>
      </c>
      <c r="AE22">
        <v>41534</v>
      </c>
      <c r="AF22">
        <v>64630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5C3A-AFEF-9A4F-A741-2FB9B9C74FC3}">
  <dimension ref="A1:AF22"/>
  <sheetViews>
    <sheetView workbookViewId="0">
      <selection activeCell="L4" activeCellId="4" sqref="E4:E22 G4:G22 I4:I22 K4:K22 L4:L22"/>
    </sheetView>
  </sheetViews>
  <sheetFormatPr baseColWidth="10" defaultRowHeight="16" x14ac:dyDescent="0.2"/>
  <sheetData>
    <row r="1" spans="1:32" x14ac:dyDescent="0.2">
      <c r="A1" t="s">
        <v>41</v>
      </c>
    </row>
    <row r="2" spans="1:32" x14ac:dyDescent="0.2">
      <c r="A2" t="s">
        <v>40</v>
      </c>
    </row>
    <row r="3" spans="1:32" x14ac:dyDescent="0.2">
      <c r="A3" t="s">
        <v>42</v>
      </c>
    </row>
    <row r="4" spans="1:32" x14ac:dyDescent="0.2">
      <c r="A4" t="s">
        <v>8</v>
      </c>
      <c r="B4" t="s">
        <v>36</v>
      </c>
      <c r="C4" t="s">
        <v>35</v>
      </c>
      <c r="D4" t="s">
        <v>34</v>
      </c>
      <c r="E4" t="s">
        <v>33</v>
      </c>
      <c r="F4" t="s">
        <v>32</v>
      </c>
      <c r="G4" t="s">
        <v>31</v>
      </c>
      <c r="H4" t="s">
        <v>30</v>
      </c>
      <c r="I4" t="s">
        <v>0</v>
      </c>
      <c r="J4" t="s">
        <v>29</v>
      </c>
      <c r="K4" t="s">
        <v>1</v>
      </c>
      <c r="L4" t="s">
        <v>2</v>
      </c>
      <c r="M4" t="s">
        <v>28</v>
      </c>
      <c r="N4" t="s">
        <v>27</v>
      </c>
      <c r="O4" t="s">
        <v>26</v>
      </c>
      <c r="P4" t="s">
        <v>25</v>
      </c>
      <c r="Q4" t="s">
        <v>24</v>
      </c>
      <c r="R4" t="s">
        <v>23</v>
      </c>
      <c r="S4" t="s">
        <v>22</v>
      </c>
      <c r="T4" t="s">
        <v>21</v>
      </c>
      <c r="U4" t="s">
        <v>20</v>
      </c>
      <c r="V4" t="s">
        <v>19</v>
      </c>
      <c r="W4" t="s">
        <v>18</v>
      </c>
      <c r="X4" t="s">
        <v>17</v>
      </c>
      <c r="Y4" t="s">
        <v>16</v>
      </c>
      <c r="Z4" t="s">
        <v>15</v>
      </c>
      <c r="AA4" t="s">
        <v>14</v>
      </c>
      <c r="AB4" t="s">
        <v>13</v>
      </c>
      <c r="AC4" t="s">
        <v>12</v>
      </c>
      <c r="AD4" t="s">
        <v>11</v>
      </c>
      <c r="AE4" t="s">
        <v>10</v>
      </c>
      <c r="AF4" t="s">
        <v>9</v>
      </c>
    </row>
    <row r="5" spans="1:32" x14ac:dyDescent="0.2">
      <c r="A5" t="s">
        <v>8</v>
      </c>
      <c r="B5" t="s">
        <v>7</v>
      </c>
      <c r="C5" t="s">
        <v>6</v>
      </c>
      <c r="D5">
        <v>10105</v>
      </c>
      <c r="E5">
        <v>145710</v>
      </c>
      <c r="F5">
        <v>1937</v>
      </c>
      <c r="G5">
        <v>28579</v>
      </c>
      <c r="H5">
        <v>28579</v>
      </c>
      <c r="I5">
        <v>117131</v>
      </c>
      <c r="J5">
        <v>0</v>
      </c>
      <c r="K5">
        <v>26</v>
      </c>
      <c r="L5">
        <v>26</v>
      </c>
      <c r="M5">
        <v>0</v>
      </c>
      <c r="N5">
        <v>0</v>
      </c>
      <c r="O5">
        <v>0</v>
      </c>
      <c r="P5">
        <v>11</v>
      </c>
      <c r="Q5">
        <v>15</v>
      </c>
      <c r="R5">
        <v>0</v>
      </c>
      <c r="S5">
        <v>0</v>
      </c>
      <c r="T5">
        <v>0</v>
      </c>
      <c r="U5">
        <v>0</v>
      </c>
      <c r="V5">
        <v>297</v>
      </c>
      <c r="W5">
        <v>258</v>
      </c>
      <c r="X5">
        <v>248</v>
      </c>
      <c r="Y5">
        <v>20936</v>
      </c>
      <c r="Z5">
        <v>968</v>
      </c>
      <c r="AA5">
        <v>813</v>
      </c>
      <c r="AB5">
        <v>793</v>
      </c>
      <c r="AC5">
        <v>2919</v>
      </c>
      <c r="AD5">
        <v>1173</v>
      </c>
      <c r="AE5">
        <v>467</v>
      </c>
      <c r="AF5">
        <v>1287</v>
      </c>
    </row>
    <row r="6" spans="1:32" x14ac:dyDescent="0.2">
      <c r="A6" t="s">
        <v>8</v>
      </c>
      <c r="B6" t="s">
        <v>7</v>
      </c>
      <c r="C6" t="s">
        <v>6</v>
      </c>
      <c r="D6">
        <v>11123</v>
      </c>
      <c r="E6">
        <v>151585</v>
      </c>
      <c r="F6">
        <v>1748</v>
      </c>
      <c r="G6">
        <v>58704</v>
      </c>
      <c r="H6">
        <v>58704</v>
      </c>
      <c r="I6">
        <v>92881</v>
      </c>
      <c r="J6">
        <v>0</v>
      </c>
      <c r="K6">
        <v>245</v>
      </c>
      <c r="L6">
        <v>245</v>
      </c>
      <c r="M6">
        <v>0</v>
      </c>
      <c r="N6">
        <v>1</v>
      </c>
      <c r="O6">
        <v>76</v>
      </c>
      <c r="P6">
        <v>67</v>
      </c>
      <c r="Q6">
        <v>65</v>
      </c>
      <c r="R6">
        <v>36</v>
      </c>
      <c r="S6">
        <v>0</v>
      </c>
      <c r="T6">
        <v>0</v>
      </c>
      <c r="U6">
        <v>0</v>
      </c>
      <c r="V6">
        <v>2701</v>
      </c>
      <c r="W6">
        <v>1601</v>
      </c>
      <c r="X6">
        <v>1880</v>
      </c>
      <c r="Y6">
        <v>19116</v>
      </c>
      <c r="Z6">
        <v>3851</v>
      </c>
      <c r="AA6">
        <v>5903</v>
      </c>
      <c r="AB6">
        <v>6461</v>
      </c>
      <c r="AC6">
        <v>11584</v>
      </c>
      <c r="AD6">
        <v>8025</v>
      </c>
      <c r="AE6">
        <v>3663</v>
      </c>
      <c r="AF6">
        <v>6038</v>
      </c>
    </row>
    <row r="7" spans="1:32" x14ac:dyDescent="0.2">
      <c r="A7" t="s">
        <v>8</v>
      </c>
      <c r="B7" t="s">
        <v>7</v>
      </c>
      <c r="C7" t="s">
        <v>6</v>
      </c>
      <c r="D7">
        <v>11308</v>
      </c>
      <c r="E7">
        <v>146682</v>
      </c>
      <c r="F7">
        <v>1549</v>
      </c>
      <c r="G7">
        <v>43477</v>
      </c>
      <c r="H7">
        <v>43477</v>
      </c>
      <c r="I7">
        <v>103205</v>
      </c>
      <c r="J7">
        <v>0</v>
      </c>
      <c r="K7">
        <v>244</v>
      </c>
      <c r="L7">
        <v>244</v>
      </c>
      <c r="M7">
        <v>0</v>
      </c>
      <c r="N7">
        <v>0</v>
      </c>
      <c r="O7">
        <v>41</v>
      </c>
      <c r="P7">
        <v>56</v>
      </c>
      <c r="Q7">
        <v>131</v>
      </c>
      <c r="R7">
        <v>16</v>
      </c>
      <c r="S7">
        <v>0</v>
      </c>
      <c r="T7">
        <v>0</v>
      </c>
      <c r="U7">
        <v>0</v>
      </c>
      <c r="V7">
        <v>879</v>
      </c>
      <c r="W7">
        <v>613</v>
      </c>
      <c r="X7">
        <v>750</v>
      </c>
      <c r="Y7">
        <v>18920</v>
      </c>
      <c r="Z7">
        <v>4518</v>
      </c>
      <c r="AA7">
        <v>2105</v>
      </c>
      <c r="AB7">
        <v>2379</v>
      </c>
      <c r="AC7">
        <v>7416</v>
      </c>
      <c r="AD7">
        <v>4965</v>
      </c>
      <c r="AE7">
        <v>1864</v>
      </c>
      <c r="AF7">
        <v>3308</v>
      </c>
    </row>
    <row r="8" spans="1:32" x14ac:dyDescent="0.2">
      <c r="A8" t="s">
        <v>8</v>
      </c>
      <c r="B8" t="s">
        <v>7</v>
      </c>
      <c r="C8" t="s">
        <v>6</v>
      </c>
      <c r="D8">
        <v>15043</v>
      </c>
      <c r="E8">
        <v>160301</v>
      </c>
      <c r="F8">
        <v>596</v>
      </c>
      <c r="G8">
        <v>178809</v>
      </c>
      <c r="H8">
        <v>169851</v>
      </c>
      <c r="I8">
        <v>297832</v>
      </c>
      <c r="J8">
        <v>4262</v>
      </c>
      <c r="K8">
        <v>10465</v>
      </c>
      <c r="L8">
        <v>10500</v>
      </c>
      <c r="M8">
        <v>4</v>
      </c>
      <c r="N8">
        <v>3418</v>
      </c>
      <c r="O8">
        <v>1355</v>
      </c>
      <c r="P8">
        <v>1395</v>
      </c>
      <c r="Q8">
        <v>1483</v>
      </c>
      <c r="R8">
        <v>900</v>
      </c>
      <c r="S8">
        <v>0</v>
      </c>
      <c r="T8">
        <v>1945</v>
      </c>
      <c r="U8">
        <v>8958</v>
      </c>
      <c r="V8">
        <v>8401</v>
      </c>
      <c r="W8">
        <v>4479</v>
      </c>
      <c r="X8">
        <v>4957</v>
      </c>
      <c r="Y8">
        <v>57111</v>
      </c>
      <c r="Z8">
        <v>9890</v>
      </c>
      <c r="AA8">
        <v>17359</v>
      </c>
      <c r="AB8">
        <v>18315</v>
      </c>
      <c r="AC8">
        <v>26767</v>
      </c>
      <c r="AD8">
        <v>20397</v>
      </c>
      <c r="AE8">
        <v>11450</v>
      </c>
      <c r="AF8">
        <v>15899</v>
      </c>
    </row>
    <row r="9" spans="1:32" x14ac:dyDescent="0.2">
      <c r="A9" t="s">
        <v>8</v>
      </c>
      <c r="B9" t="s">
        <v>7</v>
      </c>
      <c r="C9" t="s">
        <v>6</v>
      </c>
      <c r="D9">
        <v>16337</v>
      </c>
      <c r="E9">
        <v>147411</v>
      </c>
      <c r="F9">
        <v>1544</v>
      </c>
      <c r="G9">
        <v>53434</v>
      </c>
      <c r="H9">
        <v>53434</v>
      </c>
      <c r="I9">
        <v>93977</v>
      </c>
      <c r="J9">
        <v>0</v>
      </c>
      <c r="K9">
        <v>219</v>
      </c>
      <c r="L9">
        <v>219</v>
      </c>
      <c r="M9">
        <v>0</v>
      </c>
      <c r="N9">
        <v>1</v>
      </c>
      <c r="O9">
        <v>53</v>
      </c>
      <c r="P9">
        <v>51</v>
      </c>
      <c r="Q9">
        <v>96</v>
      </c>
      <c r="R9">
        <v>18</v>
      </c>
      <c r="S9">
        <v>0</v>
      </c>
      <c r="T9">
        <v>0</v>
      </c>
      <c r="U9">
        <v>0</v>
      </c>
      <c r="V9">
        <v>1944</v>
      </c>
      <c r="W9">
        <v>1077</v>
      </c>
      <c r="X9">
        <v>1349</v>
      </c>
      <c r="Y9">
        <v>20515</v>
      </c>
      <c r="Z9">
        <v>4153</v>
      </c>
      <c r="AA9">
        <v>4098</v>
      </c>
      <c r="AB9">
        <v>4642</v>
      </c>
      <c r="AC9">
        <v>8813</v>
      </c>
      <c r="AD9">
        <v>7087</v>
      </c>
      <c r="AE9">
        <v>3248</v>
      </c>
      <c r="AF9">
        <v>5029</v>
      </c>
    </row>
    <row r="10" spans="1:32" x14ac:dyDescent="0.2">
      <c r="A10" t="s">
        <v>8</v>
      </c>
      <c r="B10" t="s">
        <v>7</v>
      </c>
      <c r="C10" t="s">
        <v>6</v>
      </c>
      <c r="D10">
        <v>16566</v>
      </c>
      <c r="E10">
        <v>149002</v>
      </c>
      <c r="F10">
        <v>756</v>
      </c>
      <c r="G10">
        <v>46772</v>
      </c>
      <c r="H10">
        <v>46752</v>
      </c>
      <c r="I10">
        <v>249136</v>
      </c>
      <c r="J10">
        <v>2096</v>
      </c>
      <c r="K10">
        <v>6438</v>
      </c>
      <c r="L10">
        <v>6444</v>
      </c>
      <c r="M10">
        <v>0</v>
      </c>
      <c r="N10">
        <v>0</v>
      </c>
      <c r="O10">
        <v>0</v>
      </c>
      <c r="P10">
        <v>3790</v>
      </c>
      <c r="Q10">
        <v>2654</v>
      </c>
      <c r="R10">
        <v>0</v>
      </c>
      <c r="S10">
        <v>0</v>
      </c>
      <c r="T10">
        <v>0</v>
      </c>
      <c r="U10">
        <v>20</v>
      </c>
      <c r="V10">
        <v>131</v>
      </c>
      <c r="W10">
        <v>20</v>
      </c>
      <c r="X10">
        <v>21</v>
      </c>
      <c r="Y10">
        <v>37595</v>
      </c>
      <c r="Z10">
        <v>181</v>
      </c>
      <c r="AA10">
        <v>171</v>
      </c>
      <c r="AB10">
        <v>173</v>
      </c>
      <c r="AC10">
        <v>854</v>
      </c>
      <c r="AD10">
        <v>730</v>
      </c>
      <c r="AE10">
        <v>295</v>
      </c>
      <c r="AF10">
        <v>481</v>
      </c>
    </row>
    <row r="11" spans="1:32" x14ac:dyDescent="0.2">
      <c r="A11" t="s">
        <v>8</v>
      </c>
      <c r="B11" t="s">
        <v>7</v>
      </c>
      <c r="C11" t="s">
        <v>6</v>
      </c>
      <c r="D11">
        <v>17959</v>
      </c>
      <c r="E11">
        <v>147300</v>
      </c>
      <c r="F11">
        <v>1525</v>
      </c>
      <c r="G11">
        <v>19975</v>
      </c>
      <c r="H11">
        <v>19975</v>
      </c>
      <c r="I11">
        <v>127325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33</v>
      </c>
      <c r="W11">
        <v>23</v>
      </c>
      <c r="X11">
        <v>13</v>
      </c>
      <c r="Y11">
        <v>18854</v>
      </c>
      <c r="Z11">
        <v>166</v>
      </c>
      <c r="AA11">
        <v>79</v>
      </c>
      <c r="AB11">
        <v>59</v>
      </c>
      <c r="AC11">
        <v>461</v>
      </c>
      <c r="AD11">
        <v>166</v>
      </c>
      <c r="AE11">
        <v>72</v>
      </c>
      <c r="AF11">
        <v>187</v>
      </c>
    </row>
    <row r="12" spans="1:32" x14ac:dyDescent="0.2">
      <c r="A12" t="s">
        <v>8</v>
      </c>
      <c r="B12" t="s">
        <v>7</v>
      </c>
      <c r="C12" t="s">
        <v>6</v>
      </c>
      <c r="D12">
        <v>19992</v>
      </c>
      <c r="E12">
        <v>146621</v>
      </c>
      <c r="F12">
        <v>1793</v>
      </c>
      <c r="G12">
        <v>55229</v>
      </c>
      <c r="H12">
        <v>55229</v>
      </c>
      <c r="I12">
        <v>91392</v>
      </c>
      <c r="J12">
        <v>0</v>
      </c>
      <c r="K12">
        <v>10</v>
      </c>
      <c r="L12">
        <v>10</v>
      </c>
      <c r="M12">
        <v>0</v>
      </c>
      <c r="N12">
        <v>2</v>
      </c>
      <c r="O12">
        <v>0</v>
      </c>
      <c r="P12">
        <v>5</v>
      </c>
      <c r="Q12">
        <v>3</v>
      </c>
      <c r="R12">
        <v>0</v>
      </c>
      <c r="S12">
        <v>0</v>
      </c>
      <c r="T12">
        <v>0</v>
      </c>
      <c r="U12">
        <v>0</v>
      </c>
      <c r="V12">
        <v>2811</v>
      </c>
      <c r="W12">
        <v>1359</v>
      </c>
      <c r="X12">
        <v>1722</v>
      </c>
      <c r="Y12">
        <v>19357</v>
      </c>
      <c r="Z12">
        <v>4396</v>
      </c>
      <c r="AA12">
        <v>5529</v>
      </c>
      <c r="AB12">
        <v>6255</v>
      </c>
      <c r="AC12">
        <v>8255</v>
      </c>
      <c r="AD12">
        <v>7651</v>
      </c>
      <c r="AE12">
        <v>4002</v>
      </c>
      <c r="AF12">
        <v>5666</v>
      </c>
    </row>
    <row r="13" spans="1:32" x14ac:dyDescent="0.2">
      <c r="A13" t="s">
        <v>8</v>
      </c>
      <c r="B13" t="s">
        <v>7</v>
      </c>
      <c r="C13" t="s">
        <v>6</v>
      </c>
      <c r="D13">
        <v>19997</v>
      </c>
      <c r="E13">
        <v>151542</v>
      </c>
      <c r="F13">
        <v>1695</v>
      </c>
      <c r="G13">
        <v>54907</v>
      </c>
      <c r="H13">
        <v>54907</v>
      </c>
      <c r="I13">
        <v>96635</v>
      </c>
      <c r="J13">
        <v>0</v>
      </c>
      <c r="K13">
        <v>230</v>
      </c>
      <c r="L13">
        <v>230</v>
      </c>
      <c r="M13">
        <v>0</v>
      </c>
      <c r="N13">
        <v>2</v>
      </c>
      <c r="O13">
        <v>51</v>
      </c>
      <c r="P13">
        <v>78</v>
      </c>
      <c r="Q13">
        <v>74</v>
      </c>
      <c r="R13">
        <v>25</v>
      </c>
      <c r="S13">
        <v>0</v>
      </c>
      <c r="T13">
        <v>0</v>
      </c>
      <c r="U13">
        <v>0</v>
      </c>
      <c r="V13">
        <v>1927</v>
      </c>
      <c r="W13">
        <v>1169</v>
      </c>
      <c r="X13">
        <v>1528</v>
      </c>
      <c r="Y13">
        <v>18831</v>
      </c>
      <c r="Z13">
        <v>5230</v>
      </c>
      <c r="AA13">
        <v>4265</v>
      </c>
      <c r="AB13">
        <v>4983</v>
      </c>
      <c r="AC13">
        <v>9814</v>
      </c>
      <c r="AD13">
        <v>7220</v>
      </c>
      <c r="AE13">
        <v>3294</v>
      </c>
      <c r="AF13">
        <v>5664</v>
      </c>
    </row>
    <row r="14" spans="1:32" x14ac:dyDescent="0.2">
      <c r="A14" t="s">
        <v>8</v>
      </c>
      <c r="B14" t="s">
        <v>7</v>
      </c>
      <c r="C14" t="s">
        <v>6</v>
      </c>
      <c r="D14">
        <v>20003</v>
      </c>
      <c r="E14">
        <v>0</v>
      </c>
      <c r="F14">
        <v>111288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8</v>
      </c>
      <c r="B15" t="s">
        <v>7</v>
      </c>
      <c r="C15" t="s">
        <v>6</v>
      </c>
      <c r="D15">
        <v>2357</v>
      </c>
      <c r="E15">
        <v>147154</v>
      </c>
      <c r="F15">
        <v>1572</v>
      </c>
      <c r="G15">
        <v>56660</v>
      </c>
      <c r="H15">
        <v>56660</v>
      </c>
      <c r="I15">
        <v>90494</v>
      </c>
      <c r="J15">
        <v>0</v>
      </c>
      <c r="K15">
        <v>116</v>
      </c>
      <c r="L15">
        <v>116</v>
      </c>
      <c r="M15">
        <v>0</v>
      </c>
      <c r="N15">
        <v>1</v>
      </c>
      <c r="O15">
        <v>30</v>
      </c>
      <c r="P15">
        <v>33</v>
      </c>
      <c r="Q15">
        <v>37</v>
      </c>
      <c r="R15">
        <v>15</v>
      </c>
      <c r="S15">
        <v>0</v>
      </c>
      <c r="T15">
        <v>0</v>
      </c>
      <c r="U15">
        <v>0</v>
      </c>
      <c r="V15">
        <v>2919</v>
      </c>
      <c r="W15">
        <v>1395</v>
      </c>
      <c r="X15">
        <v>1924</v>
      </c>
      <c r="Y15">
        <v>19417</v>
      </c>
      <c r="Z15">
        <v>4038</v>
      </c>
      <c r="AA15">
        <v>5709</v>
      </c>
      <c r="AB15">
        <v>6767</v>
      </c>
      <c r="AC15">
        <v>8776</v>
      </c>
      <c r="AD15">
        <v>7958</v>
      </c>
      <c r="AE15">
        <v>4145</v>
      </c>
      <c r="AF15">
        <v>5972</v>
      </c>
    </row>
    <row r="16" spans="1:32" x14ac:dyDescent="0.2">
      <c r="A16" t="s">
        <v>8</v>
      </c>
      <c r="B16" t="s">
        <v>7</v>
      </c>
      <c r="C16" t="s">
        <v>6</v>
      </c>
      <c r="D16">
        <v>6188</v>
      </c>
      <c r="E16">
        <v>147217</v>
      </c>
      <c r="F16">
        <v>1741</v>
      </c>
      <c r="G16">
        <v>50135</v>
      </c>
      <c r="H16">
        <v>50135</v>
      </c>
      <c r="I16">
        <v>97082</v>
      </c>
      <c r="J16">
        <v>0</v>
      </c>
      <c r="K16">
        <v>8</v>
      </c>
      <c r="L16">
        <v>8</v>
      </c>
      <c r="M16">
        <v>0</v>
      </c>
      <c r="N16">
        <v>1</v>
      </c>
      <c r="O16">
        <v>0</v>
      </c>
      <c r="P16">
        <v>5</v>
      </c>
      <c r="Q16">
        <v>2</v>
      </c>
      <c r="R16">
        <v>0</v>
      </c>
      <c r="S16">
        <v>0</v>
      </c>
      <c r="T16">
        <v>0</v>
      </c>
      <c r="U16">
        <v>0</v>
      </c>
      <c r="V16">
        <v>1360</v>
      </c>
      <c r="W16">
        <v>1503</v>
      </c>
      <c r="X16">
        <v>1420</v>
      </c>
      <c r="Y16">
        <v>19649</v>
      </c>
      <c r="Z16">
        <v>2608</v>
      </c>
      <c r="AA16">
        <v>4366</v>
      </c>
      <c r="AB16">
        <v>4200</v>
      </c>
      <c r="AC16">
        <v>11584</v>
      </c>
      <c r="AD16">
        <v>4781</v>
      </c>
      <c r="AE16">
        <v>2328</v>
      </c>
      <c r="AF16">
        <v>4894</v>
      </c>
    </row>
    <row r="17" spans="1:32" x14ac:dyDescent="0.2">
      <c r="A17" t="s">
        <v>8</v>
      </c>
      <c r="B17" t="s">
        <v>7</v>
      </c>
      <c r="C17" t="s">
        <v>6</v>
      </c>
      <c r="D17">
        <v>6815</v>
      </c>
      <c r="E17">
        <v>146290</v>
      </c>
      <c r="F17">
        <v>1748</v>
      </c>
      <c r="G17">
        <v>17547</v>
      </c>
      <c r="H17">
        <v>17547</v>
      </c>
      <c r="I17">
        <v>128743</v>
      </c>
      <c r="J17">
        <v>0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13</v>
      </c>
      <c r="W17">
        <v>15</v>
      </c>
      <c r="X17">
        <v>13</v>
      </c>
      <c r="Y17">
        <v>16954</v>
      </c>
      <c r="Z17">
        <v>87</v>
      </c>
      <c r="AA17">
        <v>43</v>
      </c>
      <c r="AB17">
        <v>39</v>
      </c>
      <c r="AC17">
        <v>264</v>
      </c>
      <c r="AD17">
        <v>63</v>
      </c>
      <c r="AE17">
        <v>32</v>
      </c>
      <c r="AF17">
        <v>103</v>
      </c>
    </row>
    <row r="18" spans="1:32" x14ac:dyDescent="0.2">
      <c r="A18" t="s">
        <v>8</v>
      </c>
      <c r="B18" t="s">
        <v>7</v>
      </c>
      <c r="C18" t="s">
        <v>6</v>
      </c>
      <c r="D18">
        <v>8037</v>
      </c>
      <c r="E18">
        <v>149283</v>
      </c>
      <c r="F18">
        <v>1083</v>
      </c>
      <c r="G18">
        <v>33111</v>
      </c>
      <c r="H18">
        <v>33098</v>
      </c>
      <c r="I18">
        <v>262454</v>
      </c>
      <c r="J18">
        <v>3001</v>
      </c>
      <c r="K18">
        <v>25</v>
      </c>
      <c r="L18">
        <v>25</v>
      </c>
      <c r="M18">
        <v>0</v>
      </c>
      <c r="N18">
        <v>0</v>
      </c>
      <c r="O18">
        <v>0</v>
      </c>
      <c r="P18">
        <v>13</v>
      </c>
      <c r="Q18">
        <v>12</v>
      </c>
      <c r="R18">
        <v>0</v>
      </c>
      <c r="S18">
        <v>0</v>
      </c>
      <c r="T18">
        <v>0</v>
      </c>
      <c r="U18">
        <v>13</v>
      </c>
      <c r="V18">
        <v>13</v>
      </c>
      <c r="W18">
        <v>6</v>
      </c>
      <c r="X18">
        <v>12</v>
      </c>
      <c r="Y18">
        <v>32518</v>
      </c>
      <c r="Z18">
        <v>60</v>
      </c>
      <c r="AA18">
        <v>25</v>
      </c>
      <c r="AB18">
        <v>37</v>
      </c>
      <c r="AC18">
        <v>255</v>
      </c>
      <c r="AD18">
        <v>40</v>
      </c>
      <c r="AE18">
        <v>35</v>
      </c>
      <c r="AF18">
        <v>134</v>
      </c>
    </row>
    <row r="19" spans="1:32" x14ac:dyDescent="0.2">
      <c r="A19" t="s">
        <v>8</v>
      </c>
      <c r="B19" t="s">
        <v>7</v>
      </c>
      <c r="C19" t="s">
        <v>6</v>
      </c>
      <c r="D19">
        <v>8600</v>
      </c>
      <c r="E19">
        <v>149553</v>
      </c>
      <c r="F19">
        <v>2498</v>
      </c>
      <c r="G19">
        <v>15734</v>
      </c>
      <c r="H19">
        <v>15734</v>
      </c>
      <c r="I19">
        <v>133819</v>
      </c>
      <c r="J19">
        <v>0</v>
      </c>
      <c r="K19">
        <v>4</v>
      </c>
      <c r="L19">
        <v>4</v>
      </c>
      <c r="M19">
        <v>0</v>
      </c>
      <c r="N19">
        <v>0</v>
      </c>
      <c r="O19">
        <v>0</v>
      </c>
      <c r="P19">
        <v>3</v>
      </c>
      <c r="Q19">
        <v>1</v>
      </c>
      <c r="R19">
        <v>0</v>
      </c>
      <c r="S19">
        <v>0</v>
      </c>
      <c r="T19">
        <v>0</v>
      </c>
      <c r="U19">
        <v>0</v>
      </c>
      <c r="V19">
        <v>6</v>
      </c>
      <c r="W19">
        <v>16</v>
      </c>
      <c r="X19">
        <v>3</v>
      </c>
      <c r="Y19">
        <v>15131</v>
      </c>
      <c r="Z19">
        <v>47</v>
      </c>
      <c r="AA19">
        <v>38</v>
      </c>
      <c r="AB19">
        <v>12</v>
      </c>
      <c r="AC19">
        <v>361</v>
      </c>
      <c r="AD19">
        <v>38</v>
      </c>
      <c r="AE19">
        <v>21</v>
      </c>
      <c r="AF19">
        <v>107</v>
      </c>
    </row>
    <row r="20" spans="1:32" x14ac:dyDescent="0.2">
      <c r="A20" t="s">
        <v>8</v>
      </c>
      <c r="B20" t="s">
        <v>7</v>
      </c>
      <c r="C20" t="s">
        <v>6</v>
      </c>
      <c r="D20">
        <v>9009</v>
      </c>
      <c r="E20">
        <v>146753</v>
      </c>
      <c r="F20">
        <v>1862</v>
      </c>
      <c r="G20">
        <v>57015</v>
      </c>
      <c r="H20">
        <v>57015</v>
      </c>
      <c r="I20">
        <v>89738</v>
      </c>
      <c r="J20">
        <v>0</v>
      </c>
      <c r="K20">
        <v>7</v>
      </c>
      <c r="L20">
        <v>7</v>
      </c>
      <c r="M20">
        <v>0</v>
      </c>
      <c r="N20">
        <v>2</v>
      </c>
      <c r="O20">
        <v>2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2996</v>
      </c>
      <c r="W20">
        <v>1383</v>
      </c>
      <c r="X20">
        <v>2114</v>
      </c>
      <c r="Y20">
        <v>19860</v>
      </c>
      <c r="Z20">
        <v>4213</v>
      </c>
      <c r="AA20">
        <v>5762</v>
      </c>
      <c r="AB20">
        <v>7224</v>
      </c>
      <c r="AC20">
        <v>8017</v>
      </c>
      <c r="AD20">
        <v>8071</v>
      </c>
      <c r="AE20">
        <v>4284</v>
      </c>
      <c r="AF20">
        <v>6070</v>
      </c>
    </row>
    <row r="21" spans="1:32" x14ac:dyDescent="0.2">
      <c r="A21" t="s">
        <v>8</v>
      </c>
      <c r="B21" t="s">
        <v>7</v>
      </c>
      <c r="C21" t="s">
        <v>6</v>
      </c>
      <c r="D21">
        <v>9885</v>
      </c>
      <c r="E21">
        <v>146970</v>
      </c>
      <c r="F21">
        <v>1652</v>
      </c>
      <c r="G21">
        <v>59967</v>
      </c>
      <c r="H21">
        <v>59967</v>
      </c>
      <c r="I21">
        <v>87003</v>
      </c>
      <c r="J21">
        <v>0</v>
      </c>
      <c r="K21">
        <v>296</v>
      </c>
      <c r="L21">
        <v>296</v>
      </c>
      <c r="M21">
        <v>0</v>
      </c>
      <c r="N21">
        <v>0</v>
      </c>
      <c r="O21">
        <v>58</v>
      </c>
      <c r="P21">
        <v>73</v>
      </c>
      <c r="Q21">
        <v>126</v>
      </c>
      <c r="R21">
        <v>39</v>
      </c>
      <c r="S21">
        <v>0</v>
      </c>
      <c r="T21">
        <v>0</v>
      </c>
      <c r="U21">
        <v>0</v>
      </c>
      <c r="V21">
        <v>2550</v>
      </c>
      <c r="W21">
        <v>1702</v>
      </c>
      <c r="X21">
        <v>1861</v>
      </c>
      <c r="Y21">
        <v>19471</v>
      </c>
      <c r="Z21">
        <v>4309</v>
      </c>
      <c r="AA21">
        <v>5954</v>
      </c>
      <c r="AB21">
        <v>6272</v>
      </c>
      <c r="AC21">
        <v>11772</v>
      </c>
      <c r="AD21">
        <v>8146</v>
      </c>
      <c r="AE21">
        <v>3845</v>
      </c>
      <c r="AF21">
        <v>6015</v>
      </c>
    </row>
    <row r="22" spans="1:32" x14ac:dyDescent="0.2">
      <c r="A22" t="s">
        <v>8</v>
      </c>
      <c r="B22" t="s">
        <v>7</v>
      </c>
      <c r="C22" t="s">
        <v>6</v>
      </c>
      <c r="D22" t="s">
        <v>5</v>
      </c>
      <c r="E22">
        <v>375999</v>
      </c>
      <c r="F22">
        <v>31</v>
      </c>
      <c r="G22">
        <v>2936724</v>
      </c>
      <c r="H22">
        <v>813045</v>
      </c>
      <c r="I22">
        <v>4509609</v>
      </c>
      <c r="J22">
        <v>73647</v>
      </c>
      <c r="K22">
        <v>17277</v>
      </c>
      <c r="L22">
        <v>18249</v>
      </c>
      <c r="M22">
        <v>4</v>
      </c>
      <c r="N22">
        <v>3392</v>
      </c>
      <c r="O22">
        <v>1659</v>
      </c>
      <c r="P22">
        <v>5545</v>
      </c>
      <c r="Q22">
        <v>4681</v>
      </c>
      <c r="R22">
        <v>1041</v>
      </c>
      <c r="S22">
        <v>0</v>
      </c>
      <c r="T22">
        <v>1927</v>
      </c>
      <c r="U22">
        <v>2123679</v>
      </c>
      <c r="V22">
        <v>28503</v>
      </c>
      <c r="W22">
        <v>16347</v>
      </c>
      <c r="X22">
        <v>19625</v>
      </c>
      <c r="Y22">
        <v>371565</v>
      </c>
      <c r="Z22">
        <v>48258</v>
      </c>
      <c r="AA22">
        <v>61197</v>
      </c>
      <c r="AB22">
        <v>67753</v>
      </c>
      <c r="AC22">
        <v>116348</v>
      </c>
      <c r="AD22">
        <v>85302</v>
      </c>
      <c r="AE22">
        <v>42567</v>
      </c>
      <c r="AF22">
        <v>66279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combined.fixed</vt:lpstr>
      <vt:lpstr>hprc-v1.1-mc-grch38.MVs.fix</vt:lpstr>
      <vt:lpstr>hprc-v1.1-mc-grch38.exons.fix</vt:lpstr>
      <vt:lpstr>hprc-v1.1-mc-chm13.MVs.fix</vt:lpstr>
      <vt:lpstr>hprc-v1.1-mc-chm13.exons.fix</vt:lpstr>
      <vt:lpstr>combined</vt:lpstr>
      <vt:lpstr>hprc-v1.1-mc-grch38.MVs.byFamil</vt:lpstr>
      <vt:lpstr>hprc-v1.1-mc-chm13.MVs.byFamily</vt:lpstr>
      <vt:lpstr>hprc-v1.1-mc-chm13.gff.exons.MV</vt:lpstr>
      <vt:lpstr>hprc-v1.1-mc-grch38.gff.exons.M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Folland</dc:creator>
  <cp:lastModifiedBy>Chiara Folland</cp:lastModifiedBy>
  <dcterms:created xsi:type="dcterms:W3CDTF">2025-07-14T01:57:23Z</dcterms:created>
  <dcterms:modified xsi:type="dcterms:W3CDTF">2025-11-05T04:55:15Z</dcterms:modified>
</cp:coreProperties>
</file>