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00104561_uwa_edu_au/Documents/Research/Projects/AIM1_DATA-REANALYSIS/t2t-realignment/benchmark/variants/mendel_viol/"/>
    </mc:Choice>
  </mc:AlternateContent>
  <xr:revisionPtr revIDLastSave="404" documentId="8_{0C87BD34-B2A1-3144-A73E-433BD8F0E85E}" xr6:coauthVersionLast="47" xr6:coauthVersionMax="47" xr10:uidLastSave="{1EF8D167-8534-0E47-BA25-D96FFDFF5E3A}"/>
  <bookViews>
    <workbookView xWindow="38900" yWindow="1980" windowWidth="38400" windowHeight="19900" activeTab="1" xr2:uid="{FFF3B74B-81A2-F042-88EC-A63ADF436BD8}"/>
  </bookViews>
  <sheets>
    <sheet name="Notes" sheetId="11" r:id="rId1"/>
    <sheet name="combined_fixed" sheetId="7" r:id="rId2"/>
    <sheet name="grch38_linear.MVs.byFamily.fixe" sheetId="8" r:id="rId3"/>
    <sheet name="grch38_linear.MVs.exons.fix" sheetId="10" r:id="rId4"/>
    <sheet name="chm13_linear.MVs.byFamily.fixed" sheetId="6" r:id="rId5"/>
    <sheet name="chm13_linear.MVs.exons.fixed" sheetId="9" r:id="rId6"/>
    <sheet name="combined" sheetId="1" r:id="rId7"/>
    <sheet name="grch38_dv_glnexus.MVs.byFamily" sheetId="2" r:id="rId8"/>
    <sheet name="grch38_linear.MVs.exons.byFamil" sheetId="4" r:id="rId9"/>
    <sheet name="chm13_dv_glnexus.MVs.byFamily" sheetId="3" r:id="rId10"/>
    <sheet name="chm13_linear.MVs.exons.byFamily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7" l="1"/>
  <c r="W21" i="7"/>
  <c r="D25" i="7"/>
  <c r="I26" i="7" l="1"/>
  <c r="H26" i="7"/>
  <c r="I25" i="7"/>
  <c r="H25" i="7"/>
  <c r="I20" i="7"/>
  <c r="G26" i="7"/>
  <c r="G25" i="7"/>
  <c r="F26" i="7"/>
  <c r="F25" i="7"/>
  <c r="E26" i="7"/>
  <c r="E25" i="7"/>
  <c r="D26" i="7"/>
  <c r="AD21" i="7"/>
  <c r="AD20" i="7"/>
  <c r="Y20" i="7"/>
  <c r="Z20" i="7"/>
  <c r="AA20" i="7"/>
  <c r="AB20" i="7"/>
  <c r="AC20" i="7"/>
  <c r="Y21" i="7"/>
  <c r="Z21" i="7"/>
  <c r="AA21" i="7"/>
  <c r="AB21" i="7"/>
  <c r="AC21" i="7"/>
  <c r="X21" i="7"/>
  <c r="W20" i="7"/>
  <c r="R20" i="7"/>
  <c r="S20" i="7"/>
  <c r="T20" i="7"/>
  <c r="U20" i="7"/>
  <c r="V20" i="7"/>
  <c r="R21" i="7"/>
  <c r="S21" i="7"/>
  <c r="T21" i="7"/>
  <c r="U21" i="7"/>
  <c r="V21" i="7"/>
  <c r="Q21" i="7"/>
  <c r="Q20" i="7"/>
  <c r="K20" i="7"/>
  <c r="L20" i="7"/>
  <c r="M20" i="7"/>
  <c r="N20" i="7"/>
  <c r="O20" i="7"/>
  <c r="P20" i="7"/>
  <c r="K21" i="7"/>
  <c r="L21" i="7"/>
  <c r="M21" i="7"/>
  <c r="N21" i="7"/>
  <c r="O21" i="7"/>
  <c r="P21" i="7"/>
  <c r="J21" i="7"/>
  <c r="J20" i="7"/>
  <c r="D20" i="7"/>
  <c r="E20" i="7"/>
  <c r="F20" i="7"/>
  <c r="G20" i="7"/>
  <c r="H20" i="7"/>
  <c r="D21" i="7"/>
  <c r="E21" i="7"/>
  <c r="F21" i="7"/>
  <c r="G21" i="7"/>
  <c r="H21" i="7"/>
  <c r="C21" i="7"/>
  <c r="C20" i="7"/>
  <c r="G3" i="1"/>
  <c r="I4" i="7"/>
  <c r="P4" i="7"/>
  <c r="X20" i="7"/>
  <c r="AD19" i="7"/>
  <c r="AD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4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I19" i="7" l="1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Y19" i="1" l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X20" i="1"/>
  <c r="W20" i="1"/>
  <c r="V20" i="1"/>
  <c r="U20" i="1"/>
  <c r="T20" i="1"/>
  <c r="H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20" i="1"/>
  <c r="K20" i="1"/>
  <c r="J20" i="1"/>
  <c r="I20" i="1"/>
  <c r="Y20" i="1" l="1"/>
  <c r="M20" i="1"/>
  <c r="R20" i="1"/>
  <c r="Q20" i="1"/>
  <c r="P20" i="1"/>
  <c r="O20" i="1"/>
  <c r="N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F2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C20" i="1"/>
  <c r="D20" i="1"/>
  <c r="E20" i="1"/>
  <c r="B20" i="1"/>
  <c r="S20" i="1" l="1"/>
  <c r="G20" i="1"/>
</calcChain>
</file>

<file path=xl/sharedStrings.xml><?xml version="1.0" encoding="utf-8"?>
<sst xmlns="http://schemas.openxmlformats.org/spreadsheetml/2006/main" count="822" uniqueCount="60">
  <si>
    <t>chm13 - wgs</t>
  </si>
  <si>
    <t>chm13 - exome</t>
  </si>
  <si>
    <t>grch38 - wgs</t>
  </si>
  <si>
    <t>grch38 - exome</t>
  </si>
  <si>
    <t>FamID</t>
  </si>
  <si>
    <t>nVariants</t>
  </si>
  <si>
    <t>nFamCalled</t>
  </si>
  <si>
    <t>nLowQual</t>
  </si>
  <si>
    <t>nLociViolations</t>
  </si>
  <si>
    <t>nViolations</t>
  </si>
  <si>
    <t>Rate</t>
  </si>
  <si>
    <t>SUM</t>
  </si>
  <si>
    <t>MEDIAN</t>
  </si>
  <si>
    <t>all</t>
  </si>
  <si>
    <t>eval</t>
  </si>
  <si>
    <t>none</t>
  </si>
  <si>
    <t>MendelianViolationEvaluator</t>
  </si>
  <si>
    <t>HomVarHet_inheritedVar</t>
  </si>
  <si>
    <t>HomVarHet_inheritedRef</t>
  </si>
  <si>
    <t>HomRefHet_inheritedVar</t>
  </si>
  <si>
    <t>HomRefHet_inheritedRef</t>
  </si>
  <si>
    <t>HetHet_inheritedVar</t>
  </si>
  <si>
    <t>HetHet_inheritedRef</t>
  </si>
  <si>
    <t>HomRefHomVAR_Het</t>
  </si>
  <si>
    <t>HomVarHomVar_HomVar</t>
  </si>
  <si>
    <t>HetHet_HomVar</t>
  </si>
  <si>
    <t>HetHet_HomRef</t>
  </si>
  <si>
    <t>HetHet_Het</t>
  </si>
  <si>
    <t>HomRefHomRef_HomRef</t>
  </si>
  <si>
    <t>mvVarVar_Het</t>
  </si>
  <si>
    <t>mvVarVar_Ref</t>
  </si>
  <si>
    <t>mvVarHet_Ref</t>
  </si>
  <si>
    <t>mvRefVar_Ref</t>
  </si>
  <si>
    <t>mvRefVar_Var</t>
  </si>
  <si>
    <t>mvRefHet_Var</t>
  </si>
  <si>
    <t>mvRefRef_Het</t>
  </si>
  <si>
    <t>mvRefRef_Var</t>
  </si>
  <si>
    <t>nNoCall</t>
  </si>
  <si>
    <t>nVarFamCalled</t>
  </si>
  <si>
    <t>nSkipped</t>
  </si>
  <si>
    <t>Family</t>
  </si>
  <si>
    <t>EvalFeatureInput</t>
  </si>
  <si>
    <t>CompFeatureInput</t>
  </si>
  <si>
    <t>#:GATKTable:MendelianViolationEvaluator:Mendelian Violation Evaluator</t>
  </si>
  <si>
    <t>#:GATKTable:32:18:%s:%s:%s:%s:%d:%d:%d:%d:%d:%d:%d:%d:%d:%d:%d:%d:%d:%d:%d:%d:%d:%d:%d:%d:%d:%d:%d:%d:%d:%d:%d:%d:;</t>
  </si>
  <si>
    <t>#:GATKReport.v1.1:1</t>
  </si>
  <si>
    <t>Genome</t>
  </si>
  <si>
    <t>Exome</t>
  </si>
  <si>
    <t>CHM13</t>
  </si>
  <si>
    <t>GRCh38</t>
  </si>
  <si>
    <t>Evaluator</t>
  </si>
  <si>
    <t>Violation</t>
  </si>
  <si>
    <t>#:GATKTable:MendelianViolationEvaluator:Mendelian</t>
  </si>
  <si>
    <t>#:GATKTable:32:19:%s:%s:%s:%s:%d:%d:%d:%d:%d:%d:%d:%d:%d:%d:%d:%d:%d:%d:%d:%d:%d:%d:%d:%d:%d:%d:%d:%d:%d:%d:%d:%d:;</t>
  </si>
  <si>
    <t>Mendelian Violations</t>
  </si>
  <si>
    <t>No Low Qual Var</t>
  </si>
  <si>
    <t>"Fixed" refers to mendelian violations calculated using the cohort VCF files and ped file with the incorrect sample removed. D23-0047 - which is a duplicated sample</t>
  </si>
  <si>
    <t>Denovo</t>
  </si>
  <si>
    <t>AVERAGE</t>
  </si>
  <si>
    <t>No De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</si>
</sst>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0" fontId="0" fillId="5" borderId="1" xfId="1" applyNumberFormat="1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0" fillId="4" borderId="1" xfId="1" applyNumberFormat="1" applyFont="1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2" fillId="7" borderId="1" xfId="0" applyFont="1" applyFill="1" applyBorder="1"/>
    <xf numFmtId="10" fontId="0" fillId="7" borderId="1" xfId="1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0" fillId="8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326F-2AAB-F14E-8484-C742F94B85FE}">
  <dimension ref="A1"/>
  <sheetViews>
    <sheetView workbookViewId="0">
      <selection activeCell="C27" sqref="C27"/>
    </sheetView>
  </sheetViews>
  <sheetFormatPr baseColWidth="10" defaultRowHeight="16" x14ac:dyDescent="0.2"/>
  <sheetData>
    <row r="1" spans="1:1" x14ac:dyDescent="0.2">
      <c r="A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E0FA-C306-5D4C-9703-179F8E19CF7F}">
  <dimension ref="B2:AD26"/>
  <sheetViews>
    <sheetView tabSelected="1" topLeftCell="A2" zoomScale="110" zoomScaleNormal="110" workbookViewId="0">
      <selection activeCell="I4" sqref="I4"/>
    </sheetView>
  </sheetViews>
  <sheetFormatPr baseColWidth="10" defaultRowHeight="16" x14ac:dyDescent="0.2"/>
  <cols>
    <col min="4" max="5" width="11" bestFit="1" customWidth="1"/>
    <col min="6" max="6" width="14.5" bestFit="1" customWidth="1"/>
    <col min="7" max="7" width="13.1640625" bestFit="1" customWidth="1"/>
    <col min="8" max="8" width="10.5" customWidth="1"/>
    <col min="17" max="30" width="14.1640625" bestFit="1" customWidth="1"/>
  </cols>
  <sheetData>
    <row r="2" spans="2:30" x14ac:dyDescent="0.2">
      <c r="B2" s="1"/>
      <c r="C2" s="39" t="s">
        <v>0</v>
      </c>
      <c r="D2" s="40"/>
      <c r="E2" s="40"/>
      <c r="F2" s="40"/>
      <c r="G2" s="40"/>
      <c r="H2" s="40"/>
      <c r="I2" s="41"/>
      <c r="J2" s="39" t="s">
        <v>1</v>
      </c>
      <c r="K2" s="40"/>
      <c r="L2" s="40"/>
      <c r="M2" s="40"/>
      <c r="N2" s="40"/>
      <c r="O2" s="40"/>
      <c r="P2" s="41"/>
      <c r="Q2" s="42" t="s">
        <v>2</v>
      </c>
      <c r="R2" s="43"/>
      <c r="S2" s="43"/>
      <c r="T2" s="43"/>
      <c r="U2" s="43"/>
      <c r="V2" s="43"/>
      <c r="W2" s="44"/>
      <c r="X2" s="42" t="s">
        <v>3</v>
      </c>
      <c r="Y2" s="43"/>
      <c r="Z2" s="43"/>
      <c r="AA2" s="43"/>
      <c r="AB2" s="43"/>
      <c r="AC2" s="43"/>
      <c r="AD2" s="43"/>
    </row>
    <row r="3" spans="2:30" x14ac:dyDescent="0.2">
      <c r="B3" s="5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57</v>
      </c>
      <c r="I3" s="2" t="s">
        <v>10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57</v>
      </c>
      <c r="P3" s="2" t="s">
        <v>10</v>
      </c>
      <c r="Q3" s="25" t="s">
        <v>5</v>
      </c>
      <c r="R3" s="25" t="s">
        <v>6</v>
      </c>
      <c r="S3" s="25" t="s">
        <v>7</v>
      </c>
      <c r="T3" s="25" t="s">
        <v>8</v>
      </c>
      <c r="U3" s="25" t="s">
        <v>9</v>
      </c>
      <c r="V3" s="25" t="s">
        <v>57</v>
      </c>
      <c r="W3" s="25" t="s">
        <v>10</v>
      </c>
      <c r="X3" s="25" t="s">
        <v>5</v>
      </c>
      <c r="Y3" s="25" t="s">
        <v>6</v>
      </c>
      <c r="Z3" s="25" t="s">
        <v>7</v>
      </c>
      <c r="AA3" s="25" t="s">
        <v>8</v>
      </c>
      <c r="AB3" s="25" t="s">
        <v>9</v>
      </c>
      <c r="AC3" s="25" t="s">
        <v>57</v>
      </c>
      <c r="AD3" s="25" t="s">
        <v>10</v>
      </c>
    </row>
    <row r="4" spans="2:30" x14ac:dyDescent="0.2">
      <c r="B4" s="6">
        <v>10105</v>
      </c>
      <c r="C4" s="7">
        <v>5724722</v>
      </c>
      <c r="D4" s="7">
        <v>974019</v>
      </c>
      <c r="E4" s="7">
        <v>4750703</v>
      </c>
      <c r="F4" s="7">
        <v>1022</v>
      </c>
      <c r="G4" s="7">
        <v>1022</v>
      </c>
      <c r="H4" s="34">
        <v>8</v>
      </c>
      <c r="I4" s="29">
        <f t="shared" ref="I4:I19" si="0">G4/D4</f>
        <v>1.0492608460409909E-3</v>
      </c>
      <c r="J4" s="7">
        <v>137528</v>
      </c>
      <c r="K4" s="7">
        <v>23335</v>
      </c>
      <c r="L4" s="7">
        <v>114193</v>
      </c>
      <c r="M4" s="7">
        <v>12</v>
      </c>
      <c r="N4" s="7">
        <v>12</v>
      </c>
      <c r="O4" s="34">
        <v>0</v>
      </c>
      <c r="P4" s="29">
        <f t="shared" ref="P4:P19" si="1">N4/K4</f>
        <v>5.1424898221555599E-4</v>
      </c>
      <c r="Q4" s="14">
        <v>5947229</v>
      </c>
      <c r="R4" s="14">
        <v>1286350</v>
      </c>
      <c r="S4" s="14">
        <v>4660879</v>
      </c>
      <c r="T4" s="14">
        <v>790</v>
      </c>
      <c r="U4" s="14">
        <v>790</v>
      </c>
      <c r="V4" s="14">
        <v>8</v>
      </c>
      <c r="W4" s="31">
        <f t="shared" ref="W4:W19" si="2">U4/R4</f>
        <v>6.1414078594472738E-4</v>
      </c>
      <c r="X4" s="22">
        <v>144684</v>
      </c>
      <c r="Y4" s="22">
        <v>30638</v>
      </c>
      <c r="Z4" s="22">
        <v>114046</v>
      </c>
      <c r="AA4" s="22">
        <v>38</v>
      </c>
      <c r="AB4" s="22">
        <v>38</v>
      </c>
      <c r="AC4" s="14">
        <v>0</v>
      </c>
      <c r="AD4" s="31">
        <f t="shared" ref="AD4:AD19" si="3">AB4/Y4</f>
        <v>1.2402898361511849E-3</v>
      </c>
    </row>
    <row r="5" spans="2:30" x14ac:dyDescent="0.2">
      <c r="B5" s="6">
        <v>11123</v>
      </c>
      <c r="C5" s="7">
        <v>6009051</v>
      </c>
      <c r="D5" s="7">
        <v>2093464</v>
      </c>
      <c r="E5" s="7">
        <v>3915587</v>
      </c>
      <c r="F5" s="7">
        <v>17547</v>
      </c>
      <c r="G5" s="7">
        <v>17547</v>
      </c>
      <c r="H5" s="34">
        <v>31</v>
      </c>
      <c r="I5" s="29">
        <f t="shared" si="0"/>
        <v>8.3818016455023819E-3</v>
      </c>
      <c r="J5" s="7">
        <v>144645</v>
      </c>
      <c r="K5" s="7">
        <v>56310</v>
      </c>
      <c r="L5" s="7">
        <v>88335</v>
      </c>
      <c r="M5" s="7">
        <v>270</v>
      </c>
      <c r="N5" s="7">
        <v>270</v>
      </c>
      <c r="O5" s="34">
        <v>1</v>
      </c>
      <c r="P5" s="29">
        <f t="shared" si="1"/>
        <v>4.7948854555141182E-3</v>
      </c>
      <c r="Q5" s="14">
        <v>6182123</v>
      </c>
      <c r="R5" s="14">
        <v>2368985</v>
      </c>
      <c r="S5" s="14">
        <v>3813138</v>
      </c>
      <c r="T5" s="14">
        <v>17597</v>
      </c>
      <c r="U5" s="14">
        <v>17597</v>
      </c>
      <c r="V5" s="14">
        <v>23</v>
      </c>
      <c r="W5" s="31">
        <f t="shared" si="2"/>
        <v>7.4280757370772717E-3</v>
      </c>
      <c r="X5" s="22">
        <v>150203</v>
      </c>
      <c r="Y5" s="22">
        <v>62050</v>
      </c>
      <c r="Z5" s="22">
        <v>88153</v>
      </c>
      <c r="AA5" s="22">
        <v>272</v>
      </c>
      <c r="AB5" s="22">
        <v>272</v>
      </c>
      <c r="AC5" s="14">
        <v>0</v>
      </c>
      <c r="AD5" s="31">
        <f t="shared" si="3"/>
        <v>4.3835616438356161E-3</v>
      </c>
    </row>
    <row r="6" spans="2:30" x14ac:dyDescent="0.2">
      <c r="B6" s="6">
        <v>11308</v>
      </c>
      <c r="C6" s="7">
        <v>5788765</v>
      </c>
      <c r="D6" s="7">
        <v>1702911</v>
      </c>
      <c r="E6" s="7">
        <v>4085854</v>
      </c>
      <c r="F6" s="7">
        <v>20182</v>
      </c>
      <c r="G6" s="7">
        <v>20182</v>
      </c>
      <c r="H6" s="34">
        <v>70</v>
      </c>
      <c r="I6" s="29">
        <f t="shared" si="0"/>
        <v>1.1851470804992157E-2</v>
      </c>
      <c r="J6" s="7">
        <v>138256</v>
      </c>
      <c r="K6" s="7">
        <v>48231</v>
      </c>
      <c r="L6" s="7">
        <v>90025</v>
      </c>
      <c r="M6" s="7">
        <v>278</v>
      </c>
      <c r="N6" s="7">
        <v>278</v>
      </c>
      <c r="O6" s="34">
        <v>0</v>
      </c>
      <c r="P6" s="29">
        <f t="shared" si="1"/>
        <v>5.7639277643009683E-3</v>
      </c>
      <c r="Q6" s="14">
        <v>5998372</v>
      </c>
      <c r="R6" s="14">
        <v>1986244</v>
      </c>
      <c r="S6" s="14">
        <v>4012128</v>
      </c>
      <c r="T6" s="14">
        <v>20375</v>
      </c>
      <c r="U6" s="14">
        <v>20375</v>
      </c>
      <c r="V6" s="14">
        <v>64</v>
      </c>
      <c r="W6" s="31">
        <f t="shared" si="2"/>
        <v>1.0258054901613297E-2</v>
      </c>
      <c r="X6" s="22">
        <v>145550</v>
      </c>
      <c r="Y6" s="22">
        <v>55071</v>
      </c>
      <c r="Z6" s="22">
        <v>90479</v>
      </c>
      <c r="AA6" s="22">
        <v>280</v>
      </c>
      <c r="AB6" s="22">
        <v>280</v>
      </c>
      <c r="AC6" s="14">
        <v>0</v>
      </c>
      <c r="AD6" s="31">
        <f t="shared" si="3"/>
        <v>5.0843456628715655E-3</v>
      </c>
    </row>
    <row r="7" spans="2:30" x14ac:dyDescent="0.2">
      <c r="B7" s="6">
        <v>16337</v>
      </c>
      <c r="C7" s="7">
        <v>5825634</v>
      </c>
      <c r="D7" s="7">
        <v>2033150</v>
      </c>
      <c r="E7" s="7">
        <v>3792484</v>
      </c>
      <c r="F7" s="7">
        <v>15664</v>
      </c>
      <c r="G7" s="7">
        <v>15664</v>
      </c>
      <c r="H7" s="34">
        <v>26</v>
      </c>
      <c r="I7" s="29">
        <f t="shared" si="0"/>
        <v>7.704301207485921E-3</v>
      </c>
      <c r="J7" s="7">
        <v>138575</v>
      </c>
      <c r="K7" s="7">
        <v>54586</v>
      </c>
      <c r="L7" s="7">
        <v>83989</v>
      </c>
      <c r="M7" s="7">
        <v>207</v>
      </c>
      <c r="N7" s="7">
        <v>207</v>
      </c>
      <c r="O7" s="34">
        <v>0</v>
      </c>
      <c r="P7" s="29">
        <f t="shared" si="1"/>
        <v>3.7921811453486241E-3</v>
      </c>
      <c r="Q7" s="14">
        <v>6043612</v>
      </c>
      <c r="R7" s="14">
        <v>2337867</v>
      </c>
      <c r="S7" s="14">
        <v>3705745</v>
      </c>
      <c r="T7" s="14">
        <v>15933</v>
      </c>
      <c r="U7" s="14">
        <v>15933</v>
      </c>
      <c r="V7" s="14">
        <v>26</v>
      </c>
      <c r="W7" s="31">
        <f t="shared" si="2"/>
        <v>6.8151866637409225E-3</v>
      </c>
      <c r="X7" s="22">
        <v>146433</v>
      </c>
      <c r="Y7" s="22">
        <v>61835</v>
      </c>
      <c r="Z7" s="22">
        <v>84598</v>
      </c>
      <c r="AA7" s="22">
        <v>219</v>
      </c>
      <c r="AB7" s="22">
        <v>219</v>
      </c>
      <c r="AC7" s="14">
        <v>0</v>
      </c>
      <c r="AD7" s="31">
        <f t="shared" si="3"/>
        <v>3.541683512573785E-3</v>
      </c>
    </row>
    <row r="8" spans="2:30" x14ac:dyDescent="0.2">
      <c r="B8" s="6">
        <v>16566</v>
      </c>
      <c r="C8" s="7">
        <v>5813956</v>
      </c>
      <c r="D8" s="7">
        <v>574626</v>
      </c>
      <c r="E8" s="7">
        <v>5239330</v>
      </c>
      <c r="F8" s="7">
        <v>279</v>
      </c>
      <c r="G8" s="7">
        <v>279</v>
      </c>
      <c r="H8" s="34">
        <v>2</v>
      </c>
      <c r="I8" s="29">
        <f t="shared" si="0"/>
        <v>4.8553319898507897E-4</v>
      </c>
      <c r="J8" s="7">
        <v>139337</v>
      </c>
      <c r="K8" s="7">
        <v>14647</v>
      </c>
      <c r="L8" s="7">
        <v>124690</v>
      </c>
      <c r="M8" s="7">
        <v>1</v>
      </c>
      <c r="N8" s="7">
        <v>1</v>
      </c>
      <c r="O8" s="34">
        <v>0</v>
      </c>
      <c r="P8" s="29">
        <f t="shared" si="1"/>
        <v>6.8273366559705063E-5</v>
      </c>
      <c r="Q8" s="14">
        <v>6018837</v>
      </c>
      <c r="R8" s="14">
        <v>841013</v>
      </c>
      <c r="S8" s="14">
        <v>5177824</v>
      </c>
      <c r="T8" s="14">
        <v>286</v>
      </c>
      <c r="U8" s="14">
        <v>286</v>
      </c>
      <c r="V8" s="14">
        <v>1</v>
      </c>
      <c r="W8" s="31">
        <f t="shared" si="2"/>
        <v>3.4006608696892916E-4</v>
      </c>
      <c r="X8" s="22">
        <v>146235</v>
      </c>
      <c r="Y8" s="22">
        <v>21112</v>
      </c>
      <c r="Z8" s="22">
        <v>125123</v>
      </c>
      <c r="AA8" s="22">
        <v>12</v>
      </c>
      <c r="AB8" s="22">
        <v>12</v>
      </c>
      <c r="AC8" s="14">
        <v>0</v>
      </c>
      <c r="AD8" s="31">
        <f t="shared" si="3"/>
        <v>5.683971201212581E-4</v>
      </c>
    </row>
    <row r="9" spans="2:30" x14ac:dyDescent="0.2">
      <c r="B9" s="6">
        <v>17959</v>
      </c>
      <c r="C9" s="7">
        <v>5786689</v>
      </c>
      <c r="D9" s="7">
        <v>568209</v>
      </c>
      <c r="E9" s="7">
        <v>5218480</v>
      </c>
      <c r="F9" s="7">
        <v>352</v>
      </c>
      <c r="G9" s="7">
        <v>352</v>
      </c>
      <c r="H9" s="34">
        <v>5</v>
      </c>
      <c r="I9" s="29">
        <f t="shared" si="0"/>
        <v>6.1949036358100633E-4</v>
      </c>
      <c r="J9" s="7">
        <v>139085</v>
      </c>
      <c r="K9" s="7">
        <v>14430</v>
      </c>
      <c r="L9" s="7">
        <v>124655</v>
      </c>
      <c r="M9" s="7">
        <v>0</v>
      </c>
      <c r="N9" s="7">
        <v>0</v>
      </c>
      <c r="O9" s="34">
        <v>0</v>
      </c>
      <c r="P9" s="29">
        <f t="shared" si="1"/>
        <v>0</v>
      </c>
      <c r="Q9" s="14">
        <v>5994779</v>
      </c>
      <c r="R9" s="14">
        <v>850902</v>
      </c>
      <c r="S9" s="14">
        <v>5143877</v>
      </c>
      <c r="T9" s="14">
        <v>252</v>
      </c>
      <c r="U9" s="14">
        <v>252</v>
      </c>
      <c r="V9" s="14">
        <v>3</v>
      </c>
      <c r="W9" s="31">
        <f t="shared" si="2"/>
        <v>2.961563141231305E-4</v>
      </c>
      <c r="X9" s="22">
        <v>145515</v>
      </c>
      <c r="Y9" s="22">
        <v>20878</v>
      </c>
      <c r="Z9" s="22">
        <v>124637</v>
      </c>
      <c r="AA9" s="22">
        <v>3</v>
      </c>
      <c r="AB9" s="22">
        <v>3</v>
      </c>
      <c r="AC9" s="14">
        <v>0</v>
      </c>
      <c r="AD9" s="31">
        <f t="shared" si="3"/>
        <v>1.4369192451384232E-4</v>
      </c>
    </row>
    <row r="10" spans="2:30" x14ac:dyDescent="0.2">
      <c r="B10" s="6">
        <v>19992</v>
      </c>
      <c r="C10" s="7">
        <v>5784415</v>
      </c>
      <c r="D10" s="7">
        <v>2097450</v>
      </c>
      <c r="E10" s="7">
        <v>3686965</v>
      </c>
      <c r="F10" s="7">
        <v>481</v>
      </c>
      <c r="G10" s="7">
        <v>481</v>
      </c>
      <c r="H10" s="34">
        <v>52</v>
      </c>
      <c r="I10" s="29">
        <f t="shared" si="0"/>
        <v>2.2932608643829412E-4</v>
      </c>
      <c r="J10" s="7">
        <v>138806</v>
      </c>
      <c r="K10" s="7">
        <v>55433</v>
      </c>
      <c r="L10" s="7">
        <v>83373</v>
      </c>
      <c r="M10" s="7">
        <v>2</v>
      </c>
      <c r="N10" s="7">
        <v>2</v>
      </c>
      <c r="O10" s="34">
        <v>1</v>
      </c>
      <c r="P10" s="29">
        <f t="shared" si="1"/>
        <v>3.6079591579023328E-5</v>
      </c>
      <c r="Q10" s="14">
        <v>5990561</v>
      </c>
      <c r="R10" s="14">
        <v>2394402</v>
      </c>
      <c r="S10" s="14">
        <v>3596159</v>
      </c>
      <c r="T10" s="14">
        <v>367</v>
      </c>
      <c r="U10" s="14">
        <v>367</v>
      </c>
      <c r="V10" s="14">
        <v>48</v>
      </c>
      <c r="W10" s="31">
        <f t="shared" si="2"/>
        <v>1.5327417868845749E-4</v>
      </c>
      <c r="X10" s="22">
        <v>145311</v>
      </c>
      <c r="Y10" s="22">
        <v>61900</v>
      </c>
      <c r="Z10" s="22">
        <v>83411</v>
      </c>
      <c r="AA10" s="22">
        <v>12</v>
      </c>
      <c r="AB10" s="22">
        <v>12</v>
      </c>
      <c r="AC10" s="14">
        <v>1</v>
      </c>
      <c r="AD10" s="31">
        <f t="shared" si="3"/>
        <v>1.9386106623586429E-4</v>
      </c>
    </row>
    <row r="11" spans="2:30" x14ac:dyDescent="0.2">
      <c r="B11" s="6">
        <v>19997</v>
      </c>
      <c r="C11" s="7">
        <v>6029072</v>
      </c>
      <c r="D11" s="7">
        <v>2191441</v>
      </c>
      <c r="E11" s="7">
        <v>3837631</v>
      </c>
      <c r="F11" s="7">
        <v>22126</v>
      </c>
      <c r="G11" s="7">
        <v>22126</v>
      </c>
      <c r="H11" s="34">
        <v>50</v>
      </c>
      <c r="I11" s="29">
        <f t="shared" si="0"/>
        <v>1.009655290742484E-2</v>
      </c>
      <c r="J11" s="7">
        <v>144416</v>
      </c>
      <c r="K11" s="7">
        <v>57573</v>
      </c>
      <c r="L11" s="7">
        <v>86843</v>
      </c>
      <c r="M11" s="7">
        <v>234</v>
      </c>
      <c r="N11" s="7">
        <v>234</v>
      </c>
      <c r="O11" s="34">
        <v>2</v>
      </c>
      <c r="P11" s="29">
        <f t="shared" si="1"/>
        <v>4.0644051899327814E-3</v>
      </c>
      <c r="Q11" s="14">
        <v>6186816</v>
      </c>
      <c r="R11" s="14">
        <v>2449555</v>
      </c>
      <c r="S11" s="14">
        <v>3737261</v>
      </c>
      <c r="T11" s="14">
        <v>21610</v>
      </c>
      <c r="U11" s="14">
        <v>21610</v>
      </c>
      <c r="V11" s="14">
        <v>45</v>
      </c>
      <c r="W11" s="31">
        <f t="shared" si="2"/>
        <v>8.8220105284429213E-3</v>
      </c>
      <c r="X11" s="22">
        <v>150329</v>
      </c>
      <c r="Y11" s="22">
        <v>62895</v>
      </c>
      <c r="Z11" s="22">
        <v>87434</v>
      </c>
      <c r="AA11" s="22">
        <v>254</v>
      </c>
      <c r="AB11" s="22">
        <v>254</v>
      </c>
      <c r="AC11" s="14">
        <v>1</v>
      </c>
      <c r="AD11" s="31">
        <f t="shared" si="3"/>
        <v>4.0384768264567928E-3</v>
      </c>
    </row>
    <row r="12" spans="2:30" x14ac:dyDescent="0.2">
      <c r="B12" s="6">
        <v>2357</v>
      </c>
      <c r="C12" s="7">
        <v>5809180</v>
      </c>
      <c r="D12" s="7">
        <v>2136711</v>
      </c>
      <c r="E12" s="7">
        <v>3672469</v>
      </c>
      <c r="F12" s="7">
        <v>11225</v>
      </c>
      <c r="G12" s="7">
        <v>11225</v>
      </c>
      <c r="H12" s="34">
        <v>31</v>
      </c>
      <c r="I12" s="29">
        <f t="shared" si="0"/>
        <v>5.2534011384787176E-3</v>
      </c>
      <c r="J12" s="7">
        <v>138637</v>
      </c>
      <c r="K12" s="7">
        <v>55427</v>
      </c>
      <c r="L12" s="7">
        <v>83210</v>
      </c>
      <c r="M12" s="7">
        <v>133</v>
      </c>
      <c r="N12" s="7">
        <v>133</v>
      </c>
      <c r="O12" s="34">
        <v>2</v>
      </c>
      <c r="P12" s="29">
        <f t="shared" si="1"/>
        <v>2.3995525646345645E-3</v>
      </c>
      <c r="Q12" s="14">
        <v>5985515</v>
      </c>
      <c r="R12" s="14">
        <v>2419002</v>
      </c>
      <c r="S12" s="14">
        <v>3566513</v>
      </c>
      <c r="T12" s="14">
        <v>11193</v>
      </c>
      <c r="U12" s="14">
        <v>11193</v>
      </c>
      <c r="V12" s="14">
        <v>20</v>
      </c>
      <c r="W12" s="31">
        <f t="shared" si="2"/>
        <v>4.6271148184251192E-3</v>
      </c>
      <c r="X12" s="22">
        <v>145878</v>
      </c>
      <c r="Y12" s="22">
        <v>61921</v>
      </c>
      <c r="Z12" s="22">
        <v>83957</v>
      </c>
      <c r="AA12" s="22">
        <v>131</v>
      </c>
      <c r="AB12" s="22">
        <v>131</v>
      </c>
      <c r="AC12" s="14">
        <v>2</v>
      </c>
      <c r="AD12" s="31">
        <f t="shared" si="3"/>
        <v>2.1155989082863647E-3</v>
      </c>
    </row>
    <row r="13" spans="2:30" x14ac:dyDescent="0.2">
      <c r="B13" s="6">
        <v>6188</v>
      </c>
      <c r="C13" s="7">
        <v>5798535</v>
      </c>
      <c r="D13" s="7">
        <v>1917723</v>
      </c>
      <c r="E13" s="7">
        <v>3880812</v>
      </c>
      <c r="F13" s="7">
        <v>1388</v>
      </c>
      <c r="G13" s="7">
        <v>1388</v>
      </c>
      <c r="H13" s="34">
        <v>31</v>
      </c>
      <c r="I13" s="29">
        <f t="shared" si="0"/>
        <v>7.2377501860279093E-4</v>
      </c>
      <c r="J13" s="7">
        <v>138386</v>
      </c>
      <c r="K13" s="7">
        <v>53184</v>
      </c>
      <c r="L13" s="7">
        <v>85202</v>
      </c>
      <c r="M13" s="7">
        <v>7</v>
      </c>
      <c r="N13" s="7">
        <v>7</v>
      </c>
      <c r="O13" s="34">
        <v>1</v>
      </c>
      <c r="P13" s="29">
        <f t="shared" si="1"/>
        <v>1.3161853188929E-4</v>
      </c>
      <c r="Q13" s="14">
        <v>5999994</v>
      </c>
      <c r="R13" s="14">
        <v>2213693</v>
      </c>
      <c r="S13" s="14">
        <v>3786301</v>
      </c>
      <c r="T13" s="14">
        <v>913</v>
      </c>
      <c r="U13" s="14">
        <v>913</v>
      </c>
      <c r="V13" s="14">
        <v>33</v>
      </c>
      <c r="W13" s="31">
        <f t="shared" si="2"/>
        <v>4.1243297964080837E-4</v>
      </c>
      <c r="X13" s="22">
        <v>146061</v>
      </c>
      <c r="Y13" s="22">
        <v>60142</v>
      </c>
      <c r="Z13" s="22">
        <v>85919</v>
      </c>
      <c r="AA13" s="22">
        <v>10</v>
      </c>
      <c r="AB13" s="22">
        <v>10</v>
      </c>
      <c r="AC13" s="14">
        <v>1</v>
      </c>
      <c r="AD13" s="31">
        <f t="shared" si="3"/>
        <v>1.6627315353662998E-4</v>
      </c>
    </row>
    <row r="14" spans="2:30" x14ac:dyDescent="0.2">
      <c r="B14" s="6">
        <v>6815</v>
      </c>
      <c r="C14" s="7">
        <v>5759928</v>
      </c>
      <c r="D14" s="7">
        <v>516875</v>
      </c>
      <c r="E14" s="7">
        <v>5243053</v>
      </c>
      <c r="F14" s="7">
        <v>224</v>
      </c>
      <c r="G14" s="7">
        <v>224</v>
      </c>
      <c r="H14" s="34">
        <v>4</v>
      </c>
      <c r="I14" s="29">
        <f t="shared" si="0"/>
        <v>4.3337363966142683E-4</v>
      </c>
      <c r="J14" s="7">
        <v>138299</v>
      </c>
      <c r="K14" s="7">
        <v>13513</v>
      </c>
      <c r="L14" s="7">
        <v>124786</v>
      </c>
      <c r="M14" s="7">
        <v>0</v>
      </c>
      <c r="N14" s="7">
        <v>0</v>
      </c>
      <c r="O14" s="34">
        <v>0</v>
      </c>
      <c r="P14" s="29">
        <f t="shared" si="1"/>
        <v>0</v>
      </c>
      <c r="Q14" s="14">
        <v>5963780</v>
      </c>
      <c r="R14" s="14">
        <v>773810</v>
      </c>
      <c r="S14" s="14">
        <v>5189970</v>
      </c>
      <c r="T14" s="14">
        <v>266</v>
      </c>
      <c r="U14" s="14">
        <v>266</v>
      </c>
      <c r="V14" s="14">
        <v>8</v>
      </c>
      <c r="W14" s="31">
        <f t="shared" si="2"/>
        <v>3.4375363461314792E-4</v>
      </c>
      <c r="X14" s="22">
        <v>144770</v>
      </c>
      <c r="Y14" s="22">
        <v>19456</v>
      </c>
      <c r="Z14" s="22">
        <v>125314</v>
      </c>
      <c r="AA14" s="22">
        <v>4</v>
      </c>
      <c r="AB14" s="22">
        <v>4</v>
      </c>
      <c r="AC14" s="14">
        <v>0</v>
      </c>
      <c r="AD14" s="31">
        <f t="shared" si="3"/>
        <v>2.0559210526315788E-4</v>
      </c>
    </row>
    <row r="15" spans="2:30" x14ac:dyDescent="0.2">
      <c r="B15" s="6">
        <v>8037</v>
      </c>
      <c r="C15" s="7">
        <v>5841282</v>
      </c>
      <c r="D15" s="7">
        <v>847345</v>
      </c>
      <c r="E15" s="7">
        <v>10582005</v>
      </c>
      <c r="F15" s="7">
        <v>814</v>
      </c>
      <c r="G15" s="7">
        <v>817</v>
      </c>
      <c r="H15" s="34">
        <v>1</v>
      </c>
      <c r="I15" s="29">
        <f t="shared" si="0"/>
        <v>9.6418814060388622E-4</v>
      </c>
      <c r="J15" s="7">
        <v>140098</v>
      </c>
      <c r="K15" s="7">
        <v>22373</v>
      </c>
      <c r="L15" s="7">
        <v>254330</v>
      </c>
      <c r="M15" s="7">
        <v>7</v>
      </c>
      <c r="N15" s="7">
        <v>7</v>
      </c>
      <c r="O15" s="34">
        <v>0</v>
      </c>
      <c r="P15" s="29">
        <f t="shared" si="1"/>
        <v>3.1287712868189335E-4</v>
      </c>
      <c r="Q15" s="14">
        <v>6048908</v>
      </c>
      <c r="R15" s="14">
        <v>1359262</v>
      </c>
      <c r="S15" s="14">
        <v>10513851</v>
      </c>
      <c r="T15" s="14">
        <v>1345</v>
      </c>
      <c r="U15" s="14">
        <v>1352</v>
      </c>
      <c r="V15" s="14">
        <v>1</v>
      </c>
      <c r="W15" s="31">
        <f t="shared" si="2"/>
        <v>9.9465739496874036E-4</v>
      </c>
      <c r="X15" s="22">
        <v>147202</v>
      </c>
      <c r="Y15" s="22">
        <v>34729</v>
      </c>
      <c r="Z15" s="22">
        <v>256186</v>
      </c>
      <c r="AA15" s="22">
        <v>25</v>
      </c>
      <c r="AB15" s="22">
        <v>26</v>
      </c>
      <c r="AC15" s="14">
        <v>0</v>
      </c>
      <c r="AD15" s="31">
        <f t="shared" si="3"/>
        <v>7.4865386276598805E-4</v>
      </c>
    </row>
    <row r="16" spans="2:30" x14ac:dyDescent="0.2">
      <c r="B16" s="6">
        <v>8600</v>
      </c>
      <c r="C16" s="7">
        <v>5900074</v>
      </c>
      <c r="D16" s="7">
        <v>493507</v>
      </c>
      <c r="E16" s="7">
        <v>5406567</v>
      </c>
      <c r="F16" s="7">
        <v>266</v>
      </c>
      <c r="G16" s="7">
        <v>266</v>
      </c>
      <c r="H16" s="34">
        <v>4</v>
      </c>
      <c r="I16" s="29">
        <f t="shared" si="0"/>
        <v>5.3899944681635721E-4</v>
      </c>
      <c r="J16" s="7">
        <v>141888</v>
      </c>
      <c r="K16" s="7">
        <v>12495</v>
      </c>
      <c r="L16" s="7">
        <v>129393</v>
      </c>
      <c r="M16" s="7">
        <v>6</v>
      </c>
      <c r="N16" s="7">
        <v>6</v>
      </c>
      <c r="O16" s="34">
        <v>0</v>
      </c>
      <c r="P16" s="29">
        <f t="shared" si="1"/>
        <v>4.8019207683073231E-4</v>
      </c>
      <c r="Q16" s="14">
        <v>6052091</v>
      </c>
      <c r="R16" s="14">
        <v>709214</v>
      </c>
      <c r="S16" s="14">
        <v>5342877</v>
      </c>
      <c r="T16" s="14">
        <v>296</v>
      </c>
      <c r="U16" s="14">
        <v>296</v>
      </c>
      <c r="V16" s="14">
        <v>3</v>
      </c>
      <c r="W16" s="31">
        <f t="shared" si="2"/>
        <v>4.173634474220757E-4</v>
      </c>
      <c r="X16" s="22">
        <v>148335</v>
      </c>
      <c r="Y16" s="22">
        <v>17729</v>
      </c>
      <c r="Z16" s="22">
        <v>130606</v>
      </c>
      <c r="AA16" s="22">
        <v>8</v>
      </c>
      <c r="AB16" s="22">
        <v>8</v>
      </c>
      <c r="AC16" s="14">
        <v>0</v>
      </c>
      <c r="AD16" s="31">
        <f t="shared" si="3"/>
        <v>4.5123808449433131E-4</v>
      </c>
    </row>
    <row r="17" spans="2:30" x14ac:dyDescent="0.2">
      <c r="B17" s="6">
        <v>8718</v>
      </c>
      <c r="C17" s="7">
        <v>5917294</v>
      </c>
      <c r="D17" s="7">
        <v>4239892</v>
      </c>
      <c r="E17" s="7">
        <v>7404868</v>
      </c>
      <c r="F17" s="7">
        <v>580</v>
      </c>
      <c r="G17" s="7">
        <v>613</v>
      </c>
      <c r="H17" s="34">
        <v>62</v>
      </c>
      <c r="I17" s="29">
        <f t="shared" si="0"/>
        <v>1.445791543746869E-4</v>
      </c>
      <c r="J17" s="7">
        <v>139914</v>
      </c>
      <c r="K17" s="7">
        <v>109677</v>
      </c>
      <c r="L17" s="7">
        <v>167953</v>
      </c>
      <c r="M17" s="7">
        <v>2</v>
      </c>
      <c r="N17" s="7">
        <v>3</v>
      </c>
      <c r="O17" s="34">
        <v>2</v>
      </c>
      <c r="P17" s="29">
        <f t="shared" si="1"/>
        <v>2.7353045761645559E-5</v>
      </c>
      <c r="Q17" s="14">
        <v>6085559</v>
      </c>
      <c r="R17" s="14">
        <v>4828564</v>
      </c>
      <c r="S17" s="14">
        <v>7181718</v>
      </c>
      <c r="T17" s="14">
        <v>637</v>
      </c>
      <c r="U17" s="14">
        <v>709</v>
      </c>
      <c r="V17" s="14">
        <v>53</v>
      </c>
      <c r="W17" s="31">
        <f t="shared" si="2"/>
        <v>1.4683454542592788E-4</v>
      </c>
      <c r="X17" s="22">
        <v>145708</v>
      </c>
      <c r="Y17" s="22">
        <v>121516</v>
      </c>
      <c r="Z17" s="22">
        <v>167711</v>
      </c>
      <c r="AA17" s="22">
        <v>17</v>
      </c>
      <c r="AB17" s="22">
        <v>31</v>
      </c>
      <c r="AC17" s="14">
        <v>0</v>
      </c>
      <c r="AD17" s="31">
        <f t="shared" si="3"/>
        <v>2.5511043813160409E-4</v>
      </c>
    </row>
    <row r="18" spans="2:30" x14ac:dyDescent="0.2">
      <c r="B18" s="6">
        <v>9009</v>
      </c>
      <c r="C18" s="7">
        <v>5815234</v>
      </c>
      <c r="D18" s="7">
        <v>2076141</v>
      </c>
      <c r="E18" s="7">
        <v>3739093</v>
      </c>
      <c r="F18" s="7">
        <v>419</v>
      </c>
      <c r="G18" s="7">
        <v>419</v>
      </c>
      <c r="H18" s="34">
        <v>36</v>
      </c>
      <c r="I18" s="29">
        <f t="shared" si="0"/>
        <v>2.0181673595386825E-4</v>
      </c>
      <c r="J18" s="7">
        <v>138615</v>
      </c>
      <c r="K18" s="7">
        <v>54320</v>
      </c>
      <c r="L18" s="7">
        <v>84295</v>
      </c>
      <c r="M18" s="7">
        <v>6</v>
      </c>
      <c r="N18" s="7">
        <v>6</v>
      </c>
      <c r="O18" s="34">
        <v>1</v>
      </c>
      <c r="P18" s="29">
        <f t="shared" si="1"/>
        <v>1.1045655375552283E-4</v>
      </c>
      <c r="Q18" s="14">
        <v>6000257</v>
      </c>
      <c r="R18" s="14">
        <v>2378365</v>
      </c>
      <c r="S18" s="14">
        <v>3621892</v>
      </c>
      <c r="T18" s="14">
        <v>312</v>
      </c>
      <c r="U18" s="14">
        <v>312</v>
      </c>
      <c r="V18" s="14">
        <v>27</v>
      </c>
      <c r="W18" s="31">
        <f t="shared" si="2"/>
        <v>1.3118255608369616E-4</v>
      </c>
      <c r="X18" s="22">
        <v>145745</v>
      </c>
      <c r="Y18" s="22">
        <v>61254</v>
      </c>
      <c r="Z18" s="22">
        <v>84491</v>
      </c>
      <c r="AA18" s="22">
        <v>10</v>
      </c>
      <c r="AB18" s="22">
        <v>10</v>
      </c>
      <c r="AC18" s="14">
        <v>1</v>
      </c>
      <c r="AD18" s="31">
        <f t="shared" si="3"/>
        <v>1.6325464459463873E-4</v>
      </c>
    </row>
    <row r="19" spans="2:30" x14ac:dyDescent="0.2">
      <c r="B19" s="6">
        <v>9885</v>
      </c>
      <c r="C19" s="7">
        <v>5810624</v>
      </c>
      <c r="D19" s="7">
        <v>2255937</v>
      </c>
      <c r="E19" s="7">
        <v>3554687</v>
      </c>
      <c r="F19" s="7">
        <v>23999</v>
      </c>
      <c r="G19" s="7">
        <v>23999</v>
      </c>
      <c r="H19" s="34">
        <v>32</v>
      </c>
      <c r="I19" s="29">
        <f t="shared" si="0"/>
        <v>1.06381516859735E-2</v>
      </c>
      <c r="J19" s="7">
        <v>139440</v>
      </c>
      <c r="K19" s="7">
        <v>61195</v>
      </c>
      <c r="L19" s="7">
        <v>78245</v>
      </c>
      <c r="M19" s="7">
        <v>300</v>
      </c>
      <c r="N19" s="7">
        <v>300</v>
      </c>
      <c r="O19" s="34">
        <v>0</v>
      </c>
      <c r="P19" s="29">
        <f t="shared" si="1"/>
        <v>4.9023613040281066E-3</v>
      </c>
      <c r="Q19" s="14">
        <v>6011200</v>
      </c>
      <c r="R19" s="14">
        <v>2555016</v>
      </c>
      <c r="S19" s="14">
        <v>3456184</v>
      </c>
      <c r="T19" s="14">
        <v>24307</v>
      </c>
      <c r="U19" s="14">
        <v>24307</v>
      </c>
      <c r="V19" s="14">
        <v>39</v>
      </c>
      <c r="W19" s="31">
        <f t="shared" si="2"/>
        <v>9.5134433600415815E-3</v>
      </c>
      <c r="X19" s="22">
        <v>145637</v>
      </c>
      <c r="Y19" s="22">
        <v>67904</v>
      </c>
      <c r="Z19" s="22">
        <v>77733</v>
      </c>
      <c r="AA19" s="22">
        <v>313</v>
      </c>
      <c r="AB19" s="22">
        <v>313</v>
      </c>
      <c r="AC19" s="14">
        <v>0</v>
      </c>
      <c r="AD19" s="31">
        <f t="shared" si="3"/>
        <v>4.6094486333647499E-3</v>
      </c>
    </row>
    <row r="20" spans="2:30" x14ac:dyDescent="0.2">
      <c r="B20" s="26" t="s">
        <v>11</v>
      </c>
      <c r="C20" s="23">
        <f>SUM(C4:C19)</f>
        <v>93414455</v>
      </c>
      <c r="D20" s="23">
        <f t="shared" ref="D20:H20" si="4">SUM(D4:D19)</f>
        <v>26719401</v>
      </c>
      <c r="E20" s="23">
        <f t="shared" si="4"/>
        <v>78010588</v>
      </c>
      <c r="F20" s="23">
        <f t="shared" si="4"/>
        <v>116568</v>
      </c>
      <c r="G20" s="23">
        <f t="shared" si="4"/>
        <v>116604</v>
      </c>
      <c r="H20" s="23">
        <f t="shared" si="4"/>
        <v>445</v>
      </c>
      <c r="I20" s="30">
        <f>SUM(I4:I19)</f>
        <v>5.9316022020915904E-2</v>
      </c>
      <c r="J20" s="23">
        <f>SUM(J4:J19)</f>
        <v>2235925</v>
      </c>
      <c r="K20" s="23">
        <f t="shared" ref="K20:P20" si="5">SUM(K4:K19)</f>
        <v>706729</v>
      </c>
      <c r="L20" s="23">
        <f t="shared" si="5"/>
        <v>1803517</v>
      </c>
      <c r="M20" s="23">
        <f t="shared" si="5"/>
        <v>1465</v>
      </c>
      <c r="N20" s="23">
        <f t="shared" si="5"/>
        <v>1466</v>
      </c>
      <c r="O20" s="23">
        <f t="shared" si="5"/>
        <v>10</v>
      </c>
      <c r="P20" s="49">
        <f t="shared" si="5"/>
        <v>2.7398412701032531E-2</v>
      </c>
      <c r="Q20" s="24">
        <f>SUM(Q4:Q19)</f>
        <v>96509633</v>
      </c>
      <c r="R20" s="24">
        <f t="shared" ref="R20:V20" si="6">SUM(R4:R19)</f>
        <v>31752244</v>
      </c>
      <c r="S20" s="24">
        <f t="shared" si="6"/>
        <v>76506317</v>
      </c>
      <c r="T20" s="24">
        <f t="shared" si="6"/>
        <v>116479</v>
      </c>
      <c r="U20" s="24">
        <f t="shared" si="6"/>
        <v>116558</v>
      </c>
      <c r="V20" s="24">
        <f t="shared" si="6"/>
        <v>402</v>
      </c>
      <c r="W20" s="32">
        <f t="shared" ref="W20" si="7">SUM(W4:W19)</f>
        <v>5.1313747933220751E-2</v>
      </c>
      <c r="X20" s="24">
        <f>SUM(X4:X19)</f>
        <v>2343596</v>
      </c>
      <c r="Y20" s="24">
        <f t="shared" ref="Y20:AD20" si="8">SUM(Y4:Y19)</f>
        <v>821030</v>
      </c>
      <c r="Z20" s="24">
        <f t="shared" si="8"/>
        <v>1809798</v>
      </c>
      <c r="AA20" s="24">
        <f t="shared" si="8"/>
        <v>1608</v>
      </c>
      <c r="AB20" s="24">
        <f t="shared" si="8"/>
        <v>1623</v>
      </c>
      <c r="AC20" s="24">
        <f t="shared" si="8"/>
        <v>6</v>
      </c>
      <c r="AD20" s="32">
        <f t="shared" si="8"/>
        <v>2.7909477423197375E-2</v>
      </c>
    </row>
    <row r="21" spans="2:30" x14ac:dyDescent="0.2">
      <c r="B21" s="26" t="s">
        <v>58</v>
      </c>
      <c r="C21" s="23">
        <f>AVERAGE(C4:C19)</f>
        <v>5838403.4375</v>
      </c>
      <c r="D21" s="23">
        <f t="shared" ref="D21:H21" si="9">AVERAGE(D4:D19)</f>
        <v>1669962.5625</v>
      </c>
      <c r="E21" s="23">
        <f t="shared" si="9"/>
        <v>4875661.75</v>
      </c>
      <c r="F21" s="23">
        <f t="shared" si="9"/>
        <v>7285.5</v>
      </c>
      <c r="G21" s="23">
        <f t="shared" si="9"/>
        <v>7287.75</v>
      </c>
      <c r="H21" s="23">
        <f t="shared" si="9"/>
        <v>27.8125</v>
      </c>
      <c r="I21" s="30">
        <f>AVERAGE(I4:I19)</f>
        <v>3.707251376307244E-3</v>
      </c>
      <c r="J21" s="23">
        <f>AVERAGE(J4:J19)</f>
        <v>139745.3125</v>
      </c>
      <c r="K21" s="23">
        <f t="shared" ref="K21:P21" si="10">AVERAGE(K4:K19)</f>
        <v>44170.5625</v>
      </c>
      <c r="L21" s="23">
        <f t="shared" si="10"/>
        <v>112719.8125</v>
      </c>
      <c r="M21" s="23">
        <f t="shared" si="10"/>
        <v>91.5625</v>
      </c>
      <c r="N21" s="23">
        <f t="shared" si="10"/>
        <v>91.625</v>
      </c>
      <c r="O21" s="23">
        <f t="shared" si="10"/>
        <v>0.625</v>
      </c>
      <c r="P21" s="49">
        <f t="shared" si="10"/>
        <v>1.7124007938145332E-3</v>
      </c>
      <c r="Q21" s="35">
        <f>AVERAGE(Q4:Q19)</f>
        <v>6031852.0625</v>
      </c>
      <c r="R21" s="35">
        <f t="shared" ref="R21:W21" si="11">AVERAGE(R4:R19)</f>
        <v>1984515.25</v>
      </c>
      <c r="S21" s="35">
        <f t="shared" si="11"/>
        <v>4781644.8125</v>
      </c>
      <c r="T21" s="35">
        <f t="shared" si="11"/>
        <v>7279.9375</v>
      </c>
      <c r="U21" s="35">
        <f t="shared" si="11"/>
        <v>7284.875</v>
      </c>
      <c r="V21" s="35">
        <f t="shared" si="11"/>
        <v>25.125</v>
      </c>
      <c r="W21" s="36">
        <f>AVERAGE(W4:W19)</f>
        <v>3.2071092458262969E-3</v>
      </c>
      <c r="X21" s="35">
        <f>AVERAGE(X4:X19)</f>
        <v>146474.75</v>
      </c>
      <c r="Y21" s="35">
        <f t="shared" ref="Y21:AD21" si="12">AVERAGE(Y4:Y19)</f>
        <v>51314.375</v>
      </c>
      <c r="Z21" s="35">
        <f t="shared" si="12"/>
        <v>113112.375</v>
      </c>
      <c r="AA21" s="35">
        <f t="shared" si="12"/>
        <v>100.5</v>
      </c>
      <c r="AB21" s="35">
        <f t="shared" si="12"/>
        <v>101.4375</v>
      </c>
      <c r="AC21" s="35">
        <f t="shared" si="12"/>
        <v>0.375</v>
      </c>
      <c r="AD21" s="36">
        <f t="shared" si="12"/>
        <v>1.7443423389498359E-3</v>
      </c>
    </row>
    <row r="23" spans="2:30" x14ac:dyDescent="0.2">
      <c r="C23" s="27"/>
      <c r="D23" s="37" t="s">
        <v>54</v>
      </c>
      <c r="E23" s="38"/>
      <c r="F23" s="37" t="s">
        <v>55</v>
      </c>
      <c r="G23" s="38"/>
      <c r="H23" s="37" t="s">
        <v>59</v>
      </c>
      <c r="I23" s="38"/>
    </row>
    <row r="24" spans="2:30" x14ac:dyDescent="0.2">
      <c r="C24" s="28"/>
      <c r="D24" s="28" t="s">
        <v>46</v>
      </c>
      <c r="E24" s="28" t="s">
        <v>47</v>
      </c>
      <c r="F24" s="28" t="s">
        <v>46</v>
      </c>
      <c r="G24" s="28" t="s">
        <v>47</v>
      </c>
      <c r="H24" s="28" t="s">
        <v>46</v>
      </c>
      <c r="I24" s="28" t="s">
        <v>47</v>
      </c>
    </row>
    <row r="25" spans="2:30" x14ac:dyDescent="0.2">
      <c r="C25" s="28" t="s">
        <v>48</v>
      </c>
      <c r="D25" s="33">
        <f>I21</f>
        <v>3.707251376307244E-3</v>
      </c>
      <c r="E25" s="33">
        <f>P21</f>
        <v>1.7124007938145332E-3</v>
      </c>
      <c r="F25" s="50">
        <f>E21</f>
        <v>4875661.75</v>
      </c>
      <c r="G25" s="50">
        <f>L21</f>
        <v>112719.8125</v>
      </c>
      <c r="H25" s="50">
        <f>H21</f>
        <v>27.8125</v>
      </c>
      <c r="I25" s="50">
        <f>O21</f>
        <v>0.625</v>
      </c>
    </row>
    <row r="26" spans="2:30" x14ac:dyDescent="0.2">
      <c r="C26" s="28" t="s">
        <v>49</v>
      </c>
      <c r="D26" s="33">
        <f>W21</f>
        <v>3.2071092458262969E-3</v>
      </c>
      <c r="E26" s="33">
        <f>AD21</f>
        <v>1.7443423389498359E-3</v>
      </c>
      <c r="F26" s="50">
        <f>S21</f>
        <v>4781644.8125</v>
      </c>
      <c r="G26" s="50">
        <f>Z21</f>
        <v>113112.375</v>
      </c>
      <c r="H26" s="50">
        <f>V21</f>
        <v>25.125</v>
      </c>
      <c r="I26" s="50">
        <f>AC21</f>
        <v>0.375</v>
      </c>
    </row>
  </sheetData>
  <mergeCells count="7">
    <mergeCell ref="X2:AD2"/>
    <mergeCell ref="H23:I23"/>
    <mergeCell ref="D23:E23"/>
    <mergeCell ref="F23:G23"/>
    <mergeCell ref="C2:I2"/>
    <mergeCell ref="J2:P2"/>
    <mergeCell ref="Q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A5D0-CBBF-7741-A214-25299EF2DA17}">
  <dimension ref="A1:AF23"/>
  <sheetViews>
    <sheetView workbookViewId="0">
      <selection activeCell="D4" sqref="D4:T22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53</v>
      </c>
    </row>
    <row r="3" spans="1:32" x14ac:dyDescent="0.2">
      <c r="A3" t="s">
        <v>52</v>
      </c>
      <c r="B3" t="s">
        <v>51</v>
      </c>
      <c r="C3" t="s">
        <v>50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5947229</v>
      </c>
      <c r="F5">
        <v>133406</v>
      </c>
      <c r="G5">
        <v>1286350</v>
      </c>
      <c r="H5">
        <v>1286350</v>
      </c>
      <c r="I5">
        <v>4660879</v>
      </c>
      <c r="J5">
        <v>0</v>
      </c>
      <c r="K5">
        <v>790</v>
      </c>
      <c r="L5">
        <v>790</v>
      </c>
      <c r="M5">
        <v>4</v>
      </c>
      <c r="N5">
        <v>8</v>
      </c>
      <c r="O5">
        <v>36</v>
      </c>
      <c r="P5">
        <v>268</v>
      </c>
      <c r="Q5">
        <v>442</v>
      </c>
      <c r="R5">
        <v>28</v>
      </c>
      <c r="S5">
        <v>4</v>
      </c>
      <c r="T5">
        <v>0</v>
      </c>
      <c r="U5">
        <v>0</v>
      </c>
      <c r="V5">
        <v>21321</v>
      </c>
      <c r="W5">
        <v>16194</v>
      </c>
      <c r="X5">
        <v>16837</v>
      </c>
      <c r="Y5">
        <v>860864</v>
      </c>
      <c r="Z5">
        <v>53687</v>
      </c>
      <c r="AA5">
        <v>53709</v>
      </c>
      <c r="AB5">
        <v>54995</v>
      </c>
      <c r="AC5">
        <v>145947</v>
      </c>
      <c r="AD5">
        <v>71484</v>
      </c>
      <c r="AE5">
        <v>32741</v>
      </c>
      <c r="AF5">
        <v>66485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6182123</v>
      </c>
      <c r="F6">
        <v>126815</v>
      </c>
      <c r="G6">
        <v>2368985</v>
      </c>
      <c r="H6">
        <v>2368985</v>
      </c>
      <c r="I6">
        <v>3813138</v>
      </c>
      <c r="J6">
        <v>0</v>
      </c>
      <c r="K6">
        <v>17597</v>
      </c>
      <c r="L6">
        <v>17597</v>
      </c>
      <c r="M6">
        <v>3</v>
      </c>
      <c r="N6">
        <v>23</v>
      </c>
      <c r="O6">
        <v>5408</v>
      </c>
      <c r="P6">
        <v>4220</v>
      </c>
      <c r="Q6">
        <v>5251</v>
      </c>
      <c r="R6">
        <v>2688</v>
      </c>
      <c r="S6">
        <v>4</v>
      </c>
      <c r="T6">
        <v>0</v>
      </c>
      <c r="U6">
        <v>0</v>
      </c>
      <c r="V6">
        <v>108367</v>
      </c>
      <c r="W6">
        <v>69139</v>
      </c>
      <c r="X6">
        <v>80799</v>
      </c>
      <c r="Y6">
        <v>785714</v>
      </c>
      <c r="Z6">
        <v>158672</v>
      </c>
      <c r="AA6">
        <v>246645</v>
      </c>
      <c r="AB6">
        <v>269965</v>
      </c>
      <c r="AC6">
        <v>440081</v>
      </c>
      <c r="AD6">
        <v>305247</v>
      </c>
      <c r="AE6">
        <v>150137</v>
      </c>
      <c r="AF6">
        <v>253223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5998372</v>
      </c>
      <c r="F7">
        <v>120869</v>
      </c>
      <c r="G7">
        <v>1986244</v>
      </c>
      <c r="H7">
        <v>1986244</v>
      </c>
      <c r="I7">
        <v>4012128</v>
      </c>
      <c r="J7">
        <v>0</v>
      </c>
      <c r="K7">
        <v>20375</v>
      </c>
      <c r="L7">
        <v>20375</v>
      </c>
      <c r="M7">
        <v>6</v>
      </c>
      <c r="N7">
        <v>64</v>
      </c>
      <c r="O7">
        <v>3239</v>
      </c>
      <c r="P7">
        <v>5472</v>
      </c>
      <c r="Q7">
        <v>10065</v>
      </c>
      <c r="R7">
        <v>1525</v>
      </c>
      <c r="S7">
        <v>3</v>
      </c>
      <c r="T7">
        <v>0</v>
      </c>
      <c r="U7">
        <v>0</v>
      </c>
      <c r="V7">
        <v>54611</v>
      </c>
      <c r="W7">
        <v>31765</v>
      </c>
      <c r="X7">
        <v>37215</v>
      </c>
      <c r="Y7">
        <v>791135</v>
      </c>
      <c r="Z7">
        <v>210763</v>
      </c>
      <c r="AA7">
        <v>118141</v>
      </c>
      <c r="AB7">
        <v>129041</v>
      </c>
      <c r="AC7">
        <v>329267</v>
      </c>
      <c r="AD7">
        <v>255329</v>
      </c>
      <c r="AE7">
        <v>100918</v>
      </c>
      <c r="AF7">
        <v>154864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6590129</v>
      </c>
      <c r="F8">
        <v>52909</v>
      </c>
      <c r="G8">
        <v>7578329</v>
      </c>
      <c r="H8">
        <v>7224921</v>
      </c>
      <c r="I8">
        <v>11861696</v>
      </c>
      <c r="J8">
        <v>330362</v>
      </c>
      <c r="K8">
        <v>437036</v>
      </c>
      <c r="L8">
        <v>439160</v>
      </c>
      <c r="M8">
        <v>59</v>
      </c>
      <c r="N8">
        <v>138267</v>
      </c>
      <c r="O8">
        <v>56569</v>
      </c>
      <c r="P8">
        <v>61708</v>
      </c>
      <c r="Q8">
        <v>63182</v>
      </c>
      <c r="R8">
        <v>41795</v>
      </c>
      <c r="S8">
        <v>46</v>
      </c>
      <c r="T8">
        <v>77533</v>
      </c>
      <c r="U8">
        <v>353408</v>
      </c>
      <c r="V8">
        <v>382963</v>
      </c>
      <c r="W8">
        <v>197413</v>
      </c>
      <c r="X8">
        <v>229588</v>
      </c>
      <c r="Y8">
        <v>2280511</v>
      </c>
      <c r="Z8">
        <v>432343</v>
      </c>
      <c r="AA8">
        <v>777789</v>
      </c>
      <c r="AB8">
        <v>842139</v>
      </c>
      <c r="AC8">
        <v>1123438</v>
      </c>
      <c r="AD8">
        <v>884910</v>
      </c>
      <c r="AE8">
        <v>526079</v>
      </c>
      <c r="AF8">
        <v>728500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6043612</v>
      </c>
      <c r="F9">
        <v>118303</v>
      </c>
      <c r="G9">
        <v>2337867</v>
      </c>
      <c r="H9">
        <v>2337867</v>
      </c>
      <c r="I9">
        <v>3705745</v>
      </c>
      <c r="J9">
        <v>0</v>
      </c>
      <c r="K9">
        <v>15933</v>
      </c>
      <c r="L9">
        <v>15933</v>
      </c>
      <c r="M9">
        <v>4</v>
      </c>
      <c r="N9">
        <v>26</v>
      </c>
      <c r="O9">
        <v>4032</v>
      </c>
      <c r="P9">
        <v>3921</v>
      </c>
      <c r="Q9">
        <v>5157</v>
      </c>
      <c r="R9">
        <v>2793</v>
      </c>
      <c r="S9">
        <v>0</v>
      </c>
      <c r="T9">
        <v>0</v>
      </c>
      <c r="U9">
        <v>0</v>
      </c>
      <c r="V9">
        <v>102248</v>
      </c>
      <c r="W9">
        <v>50954</v>
      </c>
      <c r="X9">
        <v>70985</v>
      </c>
      <c r="Y9">
        <v>814601</v>
      </c>
      <c r="Z9">
        <v>182526</v>
      </c>
      <c r="AA9">
        <v>204156</v>
      </c>
      <c r="AB9">
        <v>244218</v>
      </c>
      <c r="AC9">
        <v>381392</v>
      </c>
      <c r="AD9">
        <v>327023</v>
      </c>
      <c r="AE9">
        <v>158437</v>
      </c>
      <c r="AF9">
        <v>233763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6018837</v>
      </c>
      <c r="F10">
        <v>121897</v>
      </c>
      <c r="G10">
        <v>841013</v>
      </c>
      <c r="H10">
        <v>841013</v>
      </c>
      <c r="I10">
        <v>5177824</v>
      </c>
      <c r="J10">
        <v>0</v>
      </c>
      <c r="K10">
        <v>286</v>
      </c>
      <c r="L10">
        <v>286</v>
      </c>
      <c r="M10">
        <v>2</v>
      </c>
      <c r="N10">
        <v>1</v>
      </c>
      <c r="O10">
        <v>1</v>
      </c>
      <c r="P10">
        <v>120</v>
      </c>
      <c r="Q10">
        <v>159</v>
      </c>
      <c r="R10">
        <v>1</v>
      </c>
      <c r="S10">
        <v>2</v>
      </c>
      <c r="T10">
        <v>0</v>
      </c>
      <c r="U10">
        <v>0</v>
      </c>
      <c r="V10">
        <v>2247</v>
      </c>
      <c r="W10">
        <v>1668</v>
      </c>
      <c r="X10">
        <v>1665</v>
      </c>
      <c r="Y10">
        <v>767913</v>
      </c>
      <c r="Z10">
        <v>11918</v>
      </c>
      <c r="AA10">
        <v>5583</v>
      </c>
      <c r="AB10">
        <v>5577</v>
      </c>
      <c r="AC10">
        <v>27251</v>
      </c>
      <c r="AD10">
        <v>10228</v>
      </c>
      <c r="AE10">
        <v>4672</v>
      </c>
      <c r="AF10">
        <v>13164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5994779</v>
      </c>
      <c r="F11">
        <v>107909</v>
      </c>
      <c r="G11">
        <v>850902</v>
      </c>
      <c r="H11">
        <v>850902</v>
      </c>
      <c r="I11">
        <v>5143877</v>
      </c>
      <c r="J11">
        <v>0</v>
      </c>
      <c r="K11">
        <v>252</v>
      </c>
      <c r="L11">
        <v>252</v>
      </c>
      <c r="M11">
        <v>0</v>
      </c>
      <c r="N11">
        <v>3</v>
      </c>
      <c r="O11">
        <v>1</v>
      </c>
      <c r="P11">
        <v>138</v>
      </c>
      <c r="Q11">
        <v>108</v>
      </c>
      <c r="R11">
        <v>1</v>
      </c>
      <c r="S11">
        <v>1</v>
      </c>
      <c r="T11">
        <v>0</v>
      </c>
      <c r="U11">
        <v>0</v>
      </c>
      <c r="V11">
        <v>2667</v>
      </c>
      <c r="W11">
        <v>1785</v>
      </c>
      <c r="X11">
        <v>1679</v>
      </c>
      <c r="Y11">
        <v>785674</v>
      </c>
      <c r="Z11">
        <v>9764</v>
      </c>
      <c r="AA11">
        <v>6237</v>
      </c>
      <c r="AB11">
        <v>6025</v>
      </c>
      <c r="AC11">
        <v>23338</v>
      </c>
      <c r="AD11">
        <v>11157</v>
      </c>
      <c r="AE11">
        <v>4442</v>
      </c>
      <c r="AF11">
        <v>10144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5990561</v>
      </c>
      <c r="F12">
        <v>129756</v>
      </c>
      <c r="G12">
        <v>2394402</v>
      </c>
      <c r="H12">
        <v>2394402</v>
      </c>
      <c r="I12">
        <v>3596159</v>
      </c>
      <c r="J12">
        <v>0</v>
      </c>
      <c r="K12">
        <v>367</v>
      </c>
      <c r="L12">
        <v>367</v>
      </c>
      <c r="M12">
        <v>4</v>
      </c>
      <c r="N12">
        <v>48</v>
      </c>
      <c r="O12">
        <v>54</v>
      </c>
      <c r="P12">
        <v>106</v>
      </c>
      <c r="Q12">
        <v>117</v>
      </c>
      <c r="R12">
        <v>33</v>
      </c>
      <c r="S12">
        <v>5</v>
      </c>
      <c r="T12">
        <v>0</v>
      </c>
      <c r="U12">
        <v>0</v>
      </c>
      <c r="V12">
        <v>130880</v>
      </c>
      <c r="W12">
        <v>59802</v>
      </c>
      <c r="X12">
        <v>83793</v>
      </c>
      <c r="Y12">
        <v>806670</v>
      </c>
      <c r="Z12">
        <v>187894</v>
      </c>
      <c r="AA12">
        <v>250484</v>
      </c>
      <c r="AB12">
        <v>298466</v>
      </c>
      <c r="AC12">
        <v>346878</v>
      </c>
      <c r="AD12">
        <v>339679</v>
      </c>
      <c r="AE12">
        <v>181604</v>
      </c>
      <c r="AF12">
        <v>256830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6186816</v>
      </c>
      <c r="F13">
        <v>135938</v>
      </c>
      <c r="G13">
        <v>2449555</v>
      </c>
      <c r="H13">
        <v>2449555</v>
      </c>
      <c r="I13">
        <v>3737261</v>
      </c>
      <c r="J13">
        <v>0</v>
      </c>
      <c r="K13">
        <v>21610</v>
      </c>
      <c r="L13">
        <v>21610</v>
      </c>
      <c r="M13">
        <v>2</v>
      </c>
      <c r="N13">
        <v>45</v>
      </c>
      <c r="O13">
        <v>4670</v>
      </c>
      <c r="P13">
        <v>7104</v>
      </c>
      <c r="Q13">
        <v>7501</v>
      </c>
      <c r="R13">
        <v>2282</v>
      </c>
      <c r="S13">
        <v>6</v>
      </c>
      <c r="T13">
        <v>0</v>
      </c>
      <c r="U13">
        <v>0</v>
      </c>
      <c r="V13">
        <v>102317</v>
      </c>
      <c r="W13">
        <v>55722</v>
      </c>
      <c r="X13">
        <v>66535</v>
      </c>
      <c r="Y13">
        <v>779738</v>
      </c>
      <c r="Z13">
        <v>242413</v>
      </c>
      <c r="AA13">
        <v>213761</v>
      </c>
      <c r="AB13">
        <v>235387</v>
      </c>
      <c r="AC13">
        <v>427649</v>
      </c>
      <c r="AD13">
        <v>335584</v>
      </c>
      <c r="AE13">
        <v>165428</v>
      </c>
      <c r="AF13">
        <v>252553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4638716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5985515</v>
      </c>
      <c r="F15">
        <v>128172</v>
      </c>
      <c r="G15">
        <v>2419002</v>
      </c>
      <c r="H15">
        <v>2419002</v>
      </c>
      <c r="I15">
        <v>3566513</v>
      </c>
      <c r="J15">
        <v>0</v>
      </c>
      <c r="K15">
        <v>11193</v>
      </c>
      <c r="L15">
        <v>11193</v>
      </c>
      <c r="M15">
        <v>3</v>
      </c>
      <c r="N15">
        <v>20</v>
      </c>
      <c r="O15">
        <v>2691</v>
      </c>
      <c r="P15">
        <v>3030</v>
      </c>
      <c r="Q15">
        <v>3515</v>
      </c>
      <c r="R15">
        <v>1932</v>
      </c>
      <c r="S15">
        <v>1</v>
      </c>
      <c r="T15">
        <v>1</v>
      </c>
      <c r="U15">
        <v>0</v>
      </c>
      <c r="V15">
        <v>138034</v>
      </c>
      <c r="W15">
        <v>65481</v>
      </c>
      <c r="X15">
        <v>85636</v>
      </c>
      <c r="Y15">
        <v>801420</v>
      </c>
      <c r="Z15">
        <v>179060</v>
      </c>
      <c r="AA15">
        <v>268996</v>
      </c>
      <c r="AB15">
        <v>309306</v>
      </c>
      <c r="AC15">
        <v>349684</v>
      </c>
      <c r="AD15">
        <v>337275</v>
      </c>
      <c r="AE15">
        <v>190387</v>
      </c>
      <c r="AF15">
        <v>260824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5999994</v>
      </c>
      <c r="F16">
        <v>123361</v>
      </c>
      <c r="G16">
        <v>2213693</v>
      </c>
      <c r="H16">
        <v>2213693</v>
      </c>
      <c r="I16">
        <v>3786301</v>
      </c>
      <c r="J16">
        <v>0</v>
      </c>
      <c r="K16">
        <v>913</v>
      </c>
      <c r="L16">
        <v>913</v>
      </c>
      <c r="M16">
        <v>1</v>
      </c>
      <c r="N16">
        <v>33</v>
      </c>
      <c r="O16">
        <v>206</v>
      </c>
      <c r="P16">
        <v>207</v>
      </c>
      <c r="Q16">
        <v>342</v>
      </c>
      <c r="R16">
        <v>119</v>
      </c>
      <c r="S16">
        <v>5</v>
      </c>
      <c r="T16">
        <v>0</v>
      </c>
      <c r="U16">
        <v>0</v>
      </c>
      <c r="V16">
        <v>76004</v>
      </c>
      <c r="W16">
        <v>72586</v>
      </c>
      <c r="X16">
        <v>68961</v>
      </c>
      <c r="Y16">
        <v>807642</v>
      </c>
      <c r="Z16">
        <v>125860</v>
      </c>
      <c r="AA16">
        <v>221176</v>
      </c>
      <c r="AB16">
        <v>213926</v>
      </c>
      <c r="AC16">
        <v>495432</v>
      </c>
      <c r="AD16">
        <v>227415</v>
      </c>
      <c r="AE16">
        <v>111731</v>
      </c>
      <c r="AF16">
        <v>227149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5963780</v>
      </c>
      <c r="F17">
        <v>129385</v>
      </c>
      <c r="G17">
        <v>773810</v>
      </c>
      <c r="H17">
        <v>773810</v>
      </c>
      <c r="I17">
        <v>5189970</v>
      </c>
      <c r="J17">
        <v>0</v>
      </c>
      <c r="K17">
        <v>266</v>
      </c>
      <c r="L17">
        <v>266</v>
      </c>
      <c r="M17">
        <v>7</v>
      </c>
      <c r="N17">
        <v>8</v>
      </c>
      <c r="O17">
        <v>3</v>
      </c>
      <c r="P17">
        <v>109</v>
      </c>
      <c r="Q17">
        <v>133</v>
      </c>
      <c r="R17">
        <v>4</v>
      </c>
      <c r="S17">
        <v>2</v>
      </c>
      <c r="T17">
        <v>0</v>
      </c>
      <c r="U17">
        <v>0</v>
      </c>
      <c r="V17">
        <v>1679</v>
      </c>
      <c r="W17">
        <v>1082</v>
      </c>
      <c r="X17">
        <v>1075</v>
      </c>
      <c r="Y17">
        <v>723092</v>
      </c>
      <c r="Z17">
        <v>8709</v>
      </c>
      <c r="AA17">
        <v>3843</v>
      </c>
      <c r="AB17">
        <v>3829</v>
      </c>
      <c r="AC17">
        <v>18814</v>
      </c>
      <c r="AD17">
        <v>7518</v>
      </c>
      <c r="AE17">
        <v>3144</v>
      </c>
      <c r="AF17">
        <v>8431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6048908</v>
      </c>
      <c r="F18">
        <v>90492</v>
      </c>
      <c r="G18">
        <v>1359262</v>
      </c>
      <c r="H18">
        <v>1358774</v>
      </c>
      <c r="I18">
        <v>10513851</v>
      </c>
      <c r="J18">
        <v>224703</v>
      </c>
      <c r="K18">
        <v>1345</v>
      </c>
      <c r="L18">
        <v>1352</v>
      </c>
      <c r="M18">
        <v>0</v>
      </c>
      <c r="N18">
        <v>1</v>
      </c>
      <c r="O18">
        <v>10</v>
      </c>
      <c r="P18">
        <v>691</v>
      </c>
      <c r="Q18">
        <v>645</v>
      </c>
      <c r="R18">
        <v>4</v>
      </c>
      <c r="S18">
        <v>1</v>
      </c>
      <c r="T18">
        <v>0</v>
      </c>
      <c r="U18">
        <v>488</v>
      </c>
      <c r="V18">
        <v>3142</v>
      </c>
      <c r="W18">
        <v>1697</v>
      </c>
      <c r="X18">
        <v>2235</v>
      </c>
      <c r="Y18">
        <v>1298226</v>
      </c>
      <c r="Z18">
        <v>7968</v>
      </c>
      <c r="AA18">
        <v>6536</v>
      </c>
      <c r="AB18">
        <v>7612</v>
      </c>
      <c r="AC18">
        <v>17114</v>
      </c>
      <c r="AD18">
        <v>8692</v>
      </c>
      <c r="AE18">
        <v>5515</v>
      </c>
      <c r="AF18">
        <v>12832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6052091</v>
      </c>
      <c r="F19">
        <v>150236</v>
      </c>
      <c r="G19">
        <v>709214</v>
      </c>
      <c r="H19">
        <v>709214</v>
      </c>
      <c r="I19">
        <v>5342877</v>
      </c>
      <c r="J19">
        <v>0</v>
      </c>
      <c r="K19">
        <v>296</v>
      </c>
      <c r="L19">
        <v>296</v>
      </c>
      <c r="M19">
        <v>5</v>
      </c>
      <c r="N19">
        <v>3</v>
      </c>
      <c r="O19">
        <v>9</v>
      </c>
      <c r="P19">
        <v>136</v>
      </c>
      <c r="Q19">
        <v>116</v>
      </c>
      <c r="R19">
        <v>2</v>
      </c>
      <c r="S19">
        <v>25</v>
      </c>
      <c r="T19">
        <v>0</v>
      </c>
      <c r="U19">
        <v>0</v>
      </c>
      <c r="V19">
        <v>1014</v>
      </c>
      <c r="W19">
        <v>1774</v>
      </c>
      <c r="X19">
        <v>892</v>
      </c>
      <c r="Y19">
        <v>663169</v>
      </c>
      <c r="Z19">
        <v>4032</v>
      </c>
      <c r="AA19">
        <v>4562</v>
      </c>
      <c r="AB19">
        <v>2798</v>
      </c>
      <c r="AC19">
        <v>24435</v>
      </c>
      <c r="AD19">
        <v>3786</v>
      </c>
      <c r="AE19">
        <v>1769</v>
      </c>
      <c r="AF19">
        <v>8047</v>
      </c>
    </row>
    <row r="20" spans="1:32" x14ac:dyDescent="0.2">
      <c r="A20" t="s">
        <v>16</v>
      </c>
      <c r="B20" t="s">
        <v>15</v>
      </c>
      <c r="C20" t="s">
        <v>14</v>
      </c>
      <c r="D20">
        <v>8718</v>
      </c>
      <c r="E20">
        <v>6085559</v>
      </c>
      <c r="F20">
        <v>64742</v>
      </c>
      <c r="G20">
        <v>4828564</v>
      </c>
      <c r="H20">
        <v>4827186</v>
      </c>
      <c r="I20">
        <v>7181718</v>
      </c>
      <c r="J20">
        <v>160836</v>
      </c>
      <c r="K20">
        <v>637</v>
      </c>
      <c r="L20">
        <v>709</v>
      </c>
      <c r="M20">
        <v>9</v>
      </c>
      <c r="N20">
        <v>53</v>
      </c>
      <c r="O20">
        <v>125</v>
      </c>
      <c r="P20">
        <v>153</v>
      </c>
      <c r="Q20">
        <v>303</v>
      </c>
      <c r="R20">
        <v>62</v>
      </c>
      <c r="S20">
        <v>4</v>
      </c>
      <c r="T20">
        <v>0</v>
      </c>
      <c r="U20">
        <v>1378</v>
      </c>
      <c r="V20">
        <v>259620</v>
      </c>
      <c r="W20">
        <v>117625</v>
      </c>
      <c r="X20">
        <v>172224</v>
      </c>
      <c r="Y20">
        <v>1621784</v>
      </c>
      <c r="Z20">
        <v>390085</v>
      </c>
      <c r="AA20">
        <v>494870</v>
      </c>
      <c r="AB20">
        <v>604068</v>
      </c>
      <c r="AC20">
        <v>670535</v>
      </c>
      <c r="AD20">
        <v>698306</v>
      </c>
      <c r="AE20">
        <v>376580</v>
      </c>
      <c r="AF20">
        <v>519713</v>
      </c>
    </row>
    <row r="21" spans="1:32" x14ac:dyDescent="0.2">
      <c r="A21" t="s">
        <v>16</v>
      </c>
      <c r="B21" t="s">
        <v>15</v>
      </c>
      <c r="C21" t="s">
        <v>14</v>
      </c>
      <c r="D21">
        <v>9009</v>
      </c>
      <c r="E21">
        <v>6000257</v>
      </c>
      <c r="F21">
        <v>126126</v>
      </c>
      <c r="G21">
        <v>2378365</v>
      </c>
      <c r="H21">
        <v>2378365</v>
      </c>
      <c r="I21">
        <v>3621892</v>
      </c>
      <c r="J21">
        <v>0</v>
      </c>
      <c r="K21">
        <v>312</v>
      </c>
      <c r="L21">
        <v>312</v>
      </c>
      <c r="M21">
        <v>2</v>
      </c>
      <c r="N21">
        <v>27</v>
      </c>
      <c r="O21">
        <v>57</v>
      </c>
      <c r="P21">
        <v>94</v>
      </c>
      <c r="Q21">
        <v>109</v>
      </c>
      <c r="R21">
        <v>20</v>
      </c>
      <c r="S21">
        <v>3</v>
      </c>
      <c r="T21">
        <v>0</v>
      </c>
      <c r="U21">
        <v>0</v>
      </c>
      <c r="V21">
        <v>144079</v>
      </c>
      <c r="W21">
        <v>63527</v>
      </c>
      <c r="X21">
        <v>90057</v>
      </c>
      <c r="Y21">
        <v>800680</v>
      </c>
      <c r="Z21">
        <v>168567</v>
      </c>
      <c r="AA21">
        <v>271133</v>
      </c>
      <c r="AB21">
        <v>324193</v>
      </c>
      <c r="AC21">
        <v>319811</v>
      </c>
      <c r="AD21">
        <v>330889</v>
      </c>
      <c r="AE21">
        <v>194962</v>
      </c>
      <c r="AF21">
        <v>265474</v>
      </c>
    </row>
    <row r="22" spans="1:32" x14ac:dyDescent="0.2">
      <c r="A22" t="s">
        <v>16</v>
      </c>
      <c r="B22" t="s">
        <v>15</v>
      </c>
      <c r="C22" t="s">
        <v>14</v>
      </c>
      <c r="D22">
        <v>9885</v>
      </c>
      <c r="E22">
        <v>6011200</v>
      </c>
      <c r="F22">
        <v>127835</v>
      </c>
      <c r="G22">
        <v>2555016</v>
      </c>
      <c r="H22">
        <v>2555016</v>
      </c>
      <c r="I22">
        <v>3456184</v>
      </c>
      <c r="J22">
        <v>0</v>
      </c>
      <c r="K22">
        <v>24307</v>
      </c>
      <c r="L22">
        <v>24307</v>
      </c>
      <c r="M22">
        <v>4</v>
      </c>
      <c r="N22">
        <v>39</v>
      </c>
      <c r="O22">
        <v>6097</v>
      </c>
      <c r="P22">
        <v>6340</v>
      </c>
      <c r="Q22">
        <v>8099</v>
      </c>
      <c r="R22">
        <v>3726</v>
      </c>
      <c r="S22">
        <v>2</v>
      </c>
      <c r="T22">
        <v>0</v>
      </c>
      <c r="U22">
        <v>0</v>
      </c>
      <c r="V22">
        <v>117722</v>
      </c>
      <c r="W22">
        <v>78354</v>
      </c>
      <c r="X22">
        <v>80473</v>
      </c>
      <c r="Y22">
        <v>825311</v>
      </c>
      <c r="Z22">
        <v>178434</v>
      </c>
      <c r="AA22">
        <v>274430</v>
      </c>
      <c r="AB22">
        <v>278668</v>
      </c>
      <c r="AC22">
        <v>494528</v>
      </c>
      <c r="AD22">
        <v>346398</v>
      </c>
      <c r="AE22">
        <v>161976</v>
      </c>
      <c r="AF22">
        <v>247508</v>
      </c>
    </row>
    <row r="23" spans="1:32" x14ac:dyDescent="0.2">
      <c r="A23" t="s">
        <v>16</v>
      </c>
      <c r="B23" t="s">
        <v>15</v>
      </c>
      <c r="C23" t="s">
        <v>14</v>
      </c>
      <c r="D23" t="s">
        <v>13</v>
      </c>
      <c r="E23">
        <v>13972081</v>
      </c>
      <c r="F23">
        <v>1550</v>
      </c>
      <c r="G23">
        <v>112636621</v>
      </c>
      <c r="H23">
        <v>38464281</v>
      </c>
      <c r="I23">
        <v>174992887</v>
      </c>
      <c r="J23">
        <v>5784193</v>
      </c>
      <c r="K23">
        <v>515983</v>
      </c>
      <c r="L23">
        <v>550148</v>
      </c>
      <c r="M23">
        <v>111</v>
      </c>
      <c r="N23">
        <v>136788</v>
      </c>
      <c r="O23">
        <v>82454</v>
      </c>
      <c r="P23">
        <v>93111</v>
      </c>
      <c r="Q23">
        <v>104285</v>
      </c>
      <c r="R23">
        <v>56438</v>
      </c>
      <c r="S23">
        <v>112</v>
      </c>
      <c r="T23">
        <v>76839</v>
      </c>
      <c r="U23">
        <v>74172340</v>
      </c>
      <c r="V23">
        <v>1613210</v>
      </c>
      <c r="W23">
        <v>869146</v>
      </c>
      <c r="X23">
        <v>1075968</v>
      </c>
      <c r="Y23">
        <v>16065445</v>
      </c>
      <c r="Z23">
        <v>2520675</v>
      </c>
      <c r="AA23">
        <v>3351502</v>
      </c>
      <c r="AB23">
        <v>3765146</v>
      </c>
      <c r="AC23">
        <v>5534587</v>
      </c>
      <c r="AD23">
        <v>4419571</v>
      </c>
      <c r="AE23">
        <v>2335600</v>
      </c>
      <c r="AF23">
        <v>3479677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4CC0-B810-DB4E-BCB4-78737598D49B}">
  <dimension ref="A1:AF23"/>
  <sheetViews>
    <sheetView workbookViewId="0">
      <selection activeCell="D4" sqref="D4:T17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53</v>
      </c>
    </row>
    <row r="3" spans="1:32" x14ac:dyDescent="0.2">
      <c r="A3" t="s">
        <v>52</v>
      </c>
      <c r="B3" t="s">
        <v>51</v>
      </c>
      <c r="C3" t="s">
        <v>50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144684</v>
      </c>
      <c r="F5">
        <v>1760</v>
      </c>
      <c r="G5">
        <v>30638</v>
      </c>
      <c r="H5">
        <v>30638</v>
      </c>
      <c r="I5">
        <v>114046</v>
      </c>
      <c r="J5">
        <v>0</v>
      </c>
      <c r="K5">
        <v>38</v>
      </c>
      <c r="L5">
        <v>38</v>
      </c>
      <c r="M5">
        <v>0</v>
      </c>
      <c r="N5">
        <v>0</v>
      </c>
      <c r="O5">
        <v>0</v>
      </c>
      <c r="P5">
        <v>11</v>
      </c>
      <c r="Q5">
        <v>27</v>
      </c>
      <c r="R5">
        <v>0</v>
      </c>
      <c r="S5">
        <v>0</v>
      </c>
      <c r="T5">
        <v>0</v>
      </c>
      <c r="U5">
        <v>0</v>
      </c>
      <c r="V5">
        <v>435</v>
      </c>
      <c r="W5">
        <v>312</v>
      </c>
      <c r="X5">
        <v>308</v>
      </c>
      <c r="Y5">
        <v>21274</v>
      </c>
      <c r="Z5">
        <v>1230</v>
      </c>
      <c r="AA5">
        <v>1059</v>
      </c>
      <c r="AB5">
        <v>1051</v>
      </c>
      <c r="AC5">
        <v>3348</v>
      </c>
      <c r="AD5">
        <v>1594</v>
      </c>
      <c r="AE5">
        <v>652</v>
      </c>
      <c r="AF5">
        <v>1447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150203</v>
      </c>
      <c r="F6">
        <v>1725</v>
      </c>
      <c r="G6">
        <v>62050</v>
      </c>
      <c r="H6">
        <v>62050</v>
      </c>
      <c r="I6">
        <v>88153</v>
      </c>
      <c r="J6">
        <v>0</v>
      </c>
      <c r="K6">
        <v>272</v>
      </c>
      <c r="L6">
        <v>272</v>
      </c>
      <c r="M6">
        <v>0</v>
      </c>
      <c r="N6">
        <v>0</v>
      </c>
      <c r="O6">
        <v>84</v>
      </c>
      <c r="P6">
        <v>70</v>
      </c>
      <c r="Q6">
        <v>83</v>
      </c>
      <c r="R6">
        <v>35</v>
      </c>
      <c r="S6">
        <v>0</v>
      </c>
      <c r="T6">
        <v>0</v>
      </c>
      <c r="U6">
        <v>0</v>
      </c>
      <c r="V6">
        <v>2930</v>
      </c>
      <c r="W6">
        <v>1747</v>
      </c>
      <c r="X6">
        <v>1999</v>
      </c>
      <c r="Y6">
        <v>19924</v>
      </c>
      <c r="Z6">
        <v>4174</v>
      </c>
      <c r="AA6">
        <v>6424</v>
      </c>
      <c r="AB6">
        <v>6928</v>
      </c>
      <c r="AC6">
        <v>11963</v>
      </c>
      <c r="AD6">
        <v>8556</v>
      </c>
      <c r="AE6">
        <v>4080</v>
      </c>
      <c r="AF6">
        <v>6405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145550</v>
      </c>
      <c r="F7">
        <v>1417</v>
      </c>
      <c r="G7">
        <v>55071</v>
      </c>
      <c r="H7">
        <v>55071</v>
      </c>
      <c r="I7">
        <v>90479</v>
      </c>
      <c r="J7">
        <v>0</v>
      </c>
      <c r="K7">
        <v>280</v>
      </c>
      <c r="L7">
        <v>280</v>
      </c>
      <c r="M7">
        <v>1</v>
      </c>
      <c r="N7">
        <v>0</v>
      </c>
      <c r="O7">
        <v>64</v>
      </c>
      <c r="P7">
        <v>54</v>
      </c>
      <c r="Q7">
        <v>133</v>
      </c>
      <c r="R7">
        <v>28</v>
      </c>
      <c r="S7">
        <v>0</v>
      </c>
      <c r="T7">
        <v>0</v>
      </c>
      <c r="U7">
        <v>0</v>
      </c>
      <c r="V7">
        <v>1644</v>
      </c>
      <c r="W7">
        <v>1022</v>
      </c>
      <c r="X7">
        <v>1312</v>
      </c>
      <c r="Y7">
        <v>20060</v>
      </c>
      <c r="Z7">
        <v>5650</v>
      </c>
      <c r="AA7">
        <v>3688</v>
      </c>
      <c r="AB7">
        <v>4268</v>
      </c>
      <c r="AC7">
        <v>9909</v>
      </c>
      <c r="AD7">
        <v>7711</v>
      </c>
      <c r="AE7">
        <v>2885</v>
      </c>
      <c r="AF7">
        <v>4598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159450</v>
      </c>
      <c r="F8">
        <v>546</v>
      </c>
      <c r="G8">
        <v>195917</v>
      </c>
      <c r="H8">
        <v>187095</v>
      </c>
      <c r="I8">
        <v>277875</v>
      </c>
      <c r="J8">
        <v>4558</v>
      </c>
      <c r="K8">
        <v>11155</v>
      </c>
      <c r="L8">
        <v>11189</v>
      </c>
      <c r="M8">
        <v>7</v>
      </c>
      <c r="N8">
        <v>3663</v>
      </c>
      <c r="O8">
        <v>1434</v>
      </c>
      <c r="P8">
        <v>1448</v>
      </c>
      <c r="Q8">
        <v>1448</v>
      </c>
      <c r="R8">
        <v>1006</v>
      </c>
      <c r="S8">
        <v>1</v>
      </c>
      <c r="T8">
        <v>2182</v>
      </c>
      <c r="U8">
        <v>8822</v>
      </c>
      <c r="V8">
        <v>10343</v>
      </c>
      <c r="W8">
        <v>5183</v>
      </c>
      <c r="X8">
        <v>5868</v>
      </c>
      <c r="Y8">
        <v>59461</v>
      </c>
      <c r="Z8">
        <v>10950</v>
      </c>
      <c r="AA8">
        <v>20709</v>
      </c>
      <c r="AB8">
        <v>22079</v>
      </c>
      <c r="AC8">
        <v>29251</v>
      </c>
      <c r="AD8">
        <v>23462</v>
      </c>
      <c r="AE8">
        <v>13504</v>
      </c>
      <c r="AF8">
        <v>17884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146433</v>
      </c>
      <c r="F9">
        <v>1505</v>
      </c>
      <c r="G9">
        <v>61835</v>
      </c>
      <c r="H9">
        <v>61835</v>
      </c>
      <c r="I9">
        <v>84598</v>
      </c>
      <c r="J9">
        <v>0</v>
      </c>
      <c r="K9">
        <v>219</v>
      </c>
      <c r="L9">
        <v>219</v>
      </c>
      <c r="M9">
        <v>0</v>
      </c>
      <c r="N9">
        <v>0</v>
      </c>
      <c r="O9">
        <v>57</v>
      </c>
      <c r="P9">
        <v>51</v>
      </c>
      <c r="Q9">
        <v>88</v>
      </c>
      <c r="R9">
        <v>23</v>
      </c>
      <c r="S9">
        <v>0</v>
      </c>
      <c r="T9">
        <v>0</v>
      </c>
      <c r="U9">
        <v>0</v>
      </c>
      <c r="V9">
        <v>2725</v>
      </c>
      <c r="W9">
        <v>1491</v>
      </c>
      <c r="X9">
        <v>1861</v>
      </c>
      <c r="Y9">
        <v>21265</v>
      </c>
      <c r="Z9">
        <v>4659</v>
      </c>
      <c r="AA9">
        <v>5707</v>
      </c>
      <c r="AB9">
        <v>6447</v>
      </c>
      <c r="AC9">
        <v>10290</v>
      </c>
      <c r="AD9">
        <v>9132</v>
      </c>
      <c r="AE9">
        <v>4128</v>
      </c>
      <c r="AF9">
        <v>6065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146235</v>
      </c>
      <c r="F10">
        <v>1638</v>
      </c>
      <c r="G10">
        <v>21112</v>
      </c>
      <c r="H10">
        <v>21112</v>
      </c>
      <c r="I10">
        <v>125123</v>
      </c>
      <c r="J10">
        <v>0</v>
      </c>
      <c r="K10">
        <v>12</v>
      </c>
      <c r="L10">
        <v>12</v>
      </c>
      <c r="M10">
        <v>0</v>
      </c>
      <c r="N10">
        <v>0</v>
      </c>
      <c r="O10">
        <v>0</v>
      </c>
      <c r="P10">
        <v>7</v>
      </c>
      <c r="Q10">
        <v>5</v>
      </c>
      <c r="R10">
        <v>0</v>
      </c>
      <c r="S10">
        <v>0</v>
      </c>
      <c r="T10">
        <v>0</v>
      </c>
      <c r="U10">
        <v>0</v>
      </c>
      <c r="V10">
        <v>39</v>
      </c>
      <c r="W10">
        <v>44</v>
      </c>
      <c r="X10">
        <v>31</v>
      </c>
      <c r="Y10">
        <v>19522</v>
      </c>
      <c r="Z10">
        <v>258</v>
      </c>
      <c r="AA10">
        <v>127</v>
      </c>
      <c r="AB10">
        <v>101</v>
      </c>
      <c r="AC10">
        <v>569</v>
      </c>
      <c r="AD10">
        <v>226</v>
      </c>
      <c r="AE10">
        <v>85</v>
      </c>
      <c r="AF10">
        <v>326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145515</v>
      </c>
      <c r="F11">
        <v>1472</v>
      </c>
      <c r="G11">
        <v>20878</v>
      </c>
      <c r="H11">
        <v>20878</v>
      </c>
      <c r="I11">
        <v>124637</v>
      </c>
      <c r="J11">
        <v>0</v>
      </c>
      <c r="K11">
        <v>3</v>
      </c>
      <c r="L11">
        <v>3</v>
      </c>
      <c r="M11">
        <v>0</v>
      </c>
      <c r="N11">
        <v>0</v>
      </c>
      <c r="O11">
        <v>0</v>
      </c>
      <c r="P11">
        <v>1</v>
      </c>
      <c r="Q11">
        <v>2</v>
      </c>
      <c r="R11">
        <v>0</v>
      </c>
      <c r="S11">
        <v>0</v>
      </c>
      <c r="T11">
        <v>0</v>
      </c>
      <c r="U11">
        <v>0</v>
      </c>
      <c r="V11">
        <v>36</v>
      </c>
      <c r="W11">
        <v>37</v>
      </c>
      <c r="X11">
        <v>19</v>
      </c>
      <c r="Y11">
        <v>19616</v>
      </c>
      <c r="Z11">
        <v>205</v>
      </c>
      <c r="AA11">
        <v>110</v>
      </c>
      <c r="AB11">
        <v>74</v>
      </c>
      <c r="AC11">
        <v>474</v>
      </c>
      <c r="AD11">
        <v>212</v>
      </c>
      <c r="AE11">
        <v>85</v>
      </c>
      <c r="AF11">
        <v>191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145311</v>
      </c>
      <c r="F12">
        <v>1786</v>
      </c>
      <c r="G12">
        <v>61900</v>
      </c>
      <c r="H12">
        <v>61900</v>
      </c>
      <c r="I12">
        <v>83411</v>
      </c>
      <c r="J12">
        <v>0</v>
      </c>
      <c r="K12">
        <v>12</v>
      </c>
      <c r="L12">
        <v>12</v>
      </c>
      <c r="M12">
        <v>0</v>
      </c>
      <c r="N12">
        <v>1</v>
      </c>
      <c r="O12">
        <v>2</v>
      </c>
      <c r="P12">
        <v>5</v>
      </c>
      <c r="Q12">
        <v>4</v>
      </c>
      <c r="R12">
        <v>0</v>
      </c>
      <c r="S12">
        <v>0</v>
      </c>
      <c r="T12">
        <v>0</v>
      </c>
      <c r="U12">
        <v>0</v>
      </c>
      <c r="V12">
        <v>3649</v>
      </c>
      <c r="W12">
        <v>1561</v>
      </c>
      <c r="X12">
        <v>2114</v>
      </c>
      <c r="Y12">
        <v>20209</v>
      </c>
      <c r="Z12">
        <v>4811</v>
      </c>
      <c r="AA12">
        <v>6771</v>
      </c>
      <c r="AB12">
        <v>7877</v>
      </c>
      <c r="AC12">
        <v>9242</v>
      </c>
      <c r="AD12">
        <v>9056</v>
      </c>
      <c r="AE12">
        <v>4747</v>
      </c>
      <c r="AF12">
        <v>6499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150329</v>
      </c>
      <c r="F13">
        <v>1812</v>
      </c>
      <c r="G13">
        <v>62895</v>
      </c>
      <c r="H13">
        <v>62895</v>
      </c>
      <c r="I13">
        <v>87434</v>
      </c>
      <c r="J13">
        <v>0</v>
      </c>
      <c r="K13">
        <v>254</v>
      </c>
      <c r="L13">
        <v>254</v>
      </c>
      <c r="M13">
        <v>0</v>
      </c>
      <c r="N13">
        <v>1</v>
      </c>
      <c r="O13">
        <v>62</v>
      </c>
      <c r="P13">
        <v>85</v>
      </c>
      <c r="Q13">
        <v>76</v>
      </c>
      <c r="R13">
        <v>30</v>
      </c>
      <c r="S13">
        <v>0</v>
      </c>
      <c r="T13">
        <v>0</v>
      </c>
      <c r="U13">
        <v>0</v>
      </c>
      <c r="V13">
        <v>2649</v>
      </c>
      <c r="W13">
        <v>1403</v>
      </c>
      <c r="X13">
        <v>1915</v>
      </c>
      <c r="Y13">
        <v>19830</v>
      </c>
      <c r="Z13">
        <v>6196</v>
      </c>
      <c r="AA13">
        <v>5455</v>
      </c>
      <c r="AB13">
        <v>6479</v>
      </c>
      <c r="AC13">
        <v>10836</v>
      </c>
      <c r="AD13">
        <v>9030</v>
      </c>
      <c r="AE13">
        <v>4312</v>
      </c>
      <c r="AF13">
        <v>6470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110551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145878</v>
      </c>
      <c r="F15">
        <v>1608</v>
      </c>
      <c r="G15">
        <v>61921</v>
      </c>
      <c r="H15">
        <v>61921</v>
      </c>
      <c r="I15">
        <v>83957</v>
      </c>
      <c r="J15">
        <v>0</v>
      </c>
      <c r="K15">
        <v>131</v>
      </c>
      <c r="L15">
        <v>131</v>
      </c>
      <c r="M15">
        <v>0</v>
      </c>
      <c r="N15">
        <v>2</v>
      </c>
      <c r="O15">
        <v>35</v>
      </c>
      <c r="P15">
        <v>38</v>
      </c>
      <c r="Q15">
        <v>38</v>
      </c>
      <c r="R15">
        <v>18</v>
      </c>
      <c r="S15">
        <v>0</v>
      </c>
      <c r="T15">
        <v>0</v>
      </c>
      <c r="U15">
        <v>0</v>
      </c>
      <c r="V15">
        <v>3540</v>
      </c>
      <c r="W15">
        <v>1575</v>
      </c>
      <c r="X15">
        <v>2245</v>
      </c>
      <c r="Y15">
        <v>20132</v>
      </c>
      <c r="Z15">
        <v>4303</v>
      </c>
      <c r="AA15">
        <v>6690</v>
      </c>
      <c r="AB15">
        <v>8030</v>
      </c>
      <c r="AC15">
        <v>9395</v>
      </c>
      <c r="AD15">
        <v>9130</v>
      </c>
      <c r="AE15">
        <v>4805</v>
      </c>
      <c r="AF15">
        <v>6665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146061</v>
      </c>
      <c r="F16">
        <v>1693</v>
      </c>
      <c r="G16">
        <v>60142</v>
      </c>
      <c r="H16">
        <v>60142</v>
      </c>
      <c r="I16">
        <v>85919</v>
      </c>
      <c r="J16">
        <v>0</v>
      </c>
      <c r="K16">
        <v>10</v>
      </c>
      <c r="L16">
        <v>10</v>
      </c>
      <c r="M16">
        <v>0</v>
      </c>
      <c r="N16">
        <v>1</v>
      </c>
      <c r="O16">
        <v>0</v>
      </c>
      <c r="P16">
        <v>6</v>
      </c>
      <c r="Q16">
        <v>3</v>
      </c>
      <c r="R16">
        <v>0</v>
      </c>
      <c r="S16">
        <v>0</v>
      </c>
      <c r="T16">
        <v>0</v>
      </c>
      <c r="U16">
        <v>0</v>
      </c>
      <c r="V16">
        <v>2176</v>
      </c>
      <c r="W16">
        <v>2006</v>
      </c>
      <c r="X16">
        <v>1978</v>
      </c>
      <c r="Y16">
        <v>20489</v>
      </c>
      <c r="Z16">
        <v>3459</v>
      </c>
      <c r="AA16">
        <v>6188</v>
      </c>
      <c r="AB16">
        <v>6132</v>
      </c>
      <c r="AC16">
        <v>13656</v>
      </c>
      <c r="AD16">
        <v>7002</v>
      </c>
      <c r="AE16">
        <v>3369</v>
      </c>
      <c r="AF16">
        <v>5997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144770</v>
      </c>
      <c r="F17">
        <v>1787</v>
      </c>
      <c r="G17">
        <v>19456</v>
      </c>
      <c r="H17">
        <v>19456</v>
      </c>
      <c r="I17">
        <v>125314</v>
      </c>
      <c r="J17">
        <v>0</v>
      </c>
      <c r="K17">
        <v>4</v>
      </c>
      <c r="L17">
        <v>4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  <c r="U17">
        <v>0</v>
      </c>
      <c r="V17">
        <v>35</v>
      </c>
      <c r="W17">
        <v>27</v>
      </c>
      <c r="X17">
        <v>26</v>
      </c>
      <c r="Y17">
        <v>18457</v>
      </c>
      <c r="Z17">
        <v>161</v>
      </c>
      <c r="AA17">
        <v>89</v>
      </c>
      <c r="AB17">
        <v>87</v>
      </c>
      <c r="AC17">
        <v>368</v>
      </c>
      <c r="AD17">
        <v>141</v>
      </c>
      <c r="AE17">
        <v>73</v>
      </c>
      <c r="AF17">
        <v>164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147202</v>
      </c>
      <c r="F18">
        <v>1284</v>
      </c>
      <c r="G18">
        <v>34729</v>
      </c>
      <c r="H18">
        <v>34722</v>
      </c>
      <c r="I18">
        <v>256186</v>
      </c>
      <c r="J18">
        <v>3489</v>
      </c>
      <c r="K18">
        <v>25</v>
      </c>
      <c r="L18">
        <v>26</v>
      </c>
      <c r="M18">
        <v>0</v>
      </c>
      <c r="N18">
        <v>0</v>
      </c>
      <c r="O18">
        <v>1</v>
      </c>
      <c r="P18">
        <v>13</v>
      </c>
      <c r="Q18">
        <v>12</v>
      </c>
      <c r="R18">
        <v>0</v>
      </c>
      <c r="S18">
        <v>0</v>
      </c>
      <c r="T18">
        <v>0</v>
      </c>
      <c r="U18">
        <v>7</v>
      </c>
      <c r="V18">
        <v>74</v>
      </c>
      <c r="W18">
        <v>35</v>
      </c>
      <c r="X18">
        <v>60</v>
      </c>
      <c r="Y18">
        <v>33391</v>
      </c>
      <c r="Z18">
        <v>166</v>
      </c>
      <c r="AA18">
        <v>144</v>
      </c>
      <c r="AB18">
        <v>194</v>
      </c>
      <c r="AC18">
        <v>372</v>
      </c>
      <c r="AD18">
        <v>190</v>
      </c>
      <c r="AE18">
        <v>138</v>
      </c>
      <c r="AF18">
        <v>270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148335</v>
      </c>
      <c r="F19">
        <v>2195</v>
      </c>
      <c r="G19">
        <v>17729</v>
      </c>
      <c r="H19">
        <v>17729</v>
      </c>
      <c r="I19">
        <v>130606</v>
      </c>
      <c r="J19">
        <v>0</v>
      </c>
      <c r="K19">
        <v>8</v>
      </c>
      <c r="L19">
        <v>8</v>
      </c>
      <c r="M19">
        <v>0</v>
      </c>
      <c r="N19">
        <v>0</v>
      </c>
      <c r="O19">
        <v>0</v>
      </c>
      <c r="P19">
        <v>5</v>
      </c>
      <c r="Q19">
        <v>3</v>
      </c>
      <c r="R19">
        <v>0</v>
      </c>
      <c r="S19">
        <v>0</v>
      </c>
      <c r="T19">
        <v>0</v>
      </c>
      <c r="U19">
        <v>0</v>
      </c>
      <c r="V19">
        <v>23</v>
      </c>
      <c r="W19">
        <v>37</v>
      </c>
      <c r="X19">
        <v>18</v>
      </c>
      <c r="Y19">
        <v>16763</v>
      </c>
      <c r="Z19">
        <v>87</v>
      </c>
      <c r="AA19">
        <v>97</v>
      </c>
      <c r="AB19">
        <v>59</v>
      </c>
      <c r="AC19">
        <v>500</v>
      </c>
      <c r="AD19">
        <v>70</v>
      </c>
      <c r="AE19">
        <v>49</v>
      </c>
      <c r="AF19">
        <v>174</v>
      </c>
    </row>
    <row r="20" spans="1:32" x14ac:dyDescent="0.2">
      <c r="A20" t="s">
        <v>16</v>
      </c>
      <c r="B20" t="s">
        <v>15</v>
      </c>
      <c r="C20" t="s">
        <v>14</v>
      </c>
      <c r="D20">
        <v>8718</v>
      </c>
      <c r="E20">
        <v>145708</v>
      </c>
      <c r="F20">
        <v>657</v>
      </c>
      <c r="G20">
        <v>121516</v>
      </c>
      <c r="H20">
        <v>121493</v>
      </c>
      <c r="I20">
        <v>167711</v>
      </c>
      <c r="J20">
        <v>2189</v>
      </c>
      <c r="K20">
        <v>17</v>
      </c>
      <c r="L20">
        <v>31</v>
      </c>
      <c r="M20">
        <v>0</v>
      </c>
      <c r="N20">
        <v>0</v>
      </c>
      <c r="O20">
        <v>2</v>
      </c>
      <c r="P20">
        <v>6</v>
      </c>
      <c r="Q20">
        <v>22</v>
      </c>
      <c r="R20">
        <v>1</v>
      </c>
      <c r="S20">
        <v>0</v>
      </c>
      <c r="T20">
        <v>0</v>
      </c>
      <c r="U20">
        <v>23</v>
      </c>
      <c r="V20">
        <v>6659</v>
      </c>
      <c r="W20">
        <v>3041</v>
      </c>
      <c r="X20">
        <v>4111</v>
      </c>
      <c r="Y20">
        <v>40378</v>
      </c>
      <c r="Z20">
        <v>9110</v>
      </c>
      <c r="AA20">
        <v>12741</v>
      </c>
      <c r="AB20">
        <v>14881</v>
      </c>
      <c r="AC20">
        <v>17465</v>
      </c>
      <c r="AD20">
        <v>18061</v>
      </c>
      <c r="AE20">
        <v>9661</v>
      </c>
      <c r="AF20">
        <v>12976</v>
      </c>
    </row>
    <row r="21" spans="1:32" x14ac:dyDescent="0.2">
      <c r="A21" t="s">
        <v>16</v>
      </c>
      <c r="B21" t="s">
        <v>15</v>
      </c>
      <c r="C21" t="s">
        <v>14</v>
      </c>
      <c r="D21">
        <v>9009</v>
      </c>
      <c r="E21">
        <v>145745</v>
      </c>
      <c r="F21">
        <v>1699</v>
      </c>
      <c r="G21">
        <v>61254</v>
      </c>
      <c r="H21">
        <v>61254</v>
      </c>
      <c r="I21">
        <v>84491</v>
      </c>
      <c r="J21">
        <v>0</v>
      </c>
      <c r="K21">
        <v>10</v>
      </c>
      <c r="L21">
        <v>10</v>
      </c>
      <c r="M21">
        <v>0</v>
      </c>
      <c r="N21">
        <v>1</v>
      </c>
      <c r="O21">
        <v>2</v>
      </c>
      <c r="P21">
        <v>2</v>
      </c>
      <c r="Q21">
        <v>5</v>
      </c>
      <c r="R21">
        <v>0</v>
      </c>
      <c r="S21">
        <v>0</v>
      </c>
      <c r="T21">
        <v>0</v>
      </c>
      <c r="U21">
        <v>0</v>
      </c>
      <c r="V21">
        <v>3543</v>
      </c>
      <c r="W21">
        <v>1583</v>
      </c>
      <c r="X21">
        <v>2357</v>
      </c>
      <c r="Y21">
        <v>20430</v>
      </c>
      <c r="Z21">
        <v>4411</v>
      </c>
      <c r="AA21">
        <v>6709</v>
      </c>
      <c r="AB21">
        <v>8257</v>
      </c>
      <c r="AC21">
        <v>8524</v>
      </c>
      <c r="AD21">
        <v>8979</v>
      </c>
      <c r="AE21">
        <v>4815</v>
      </c>
      <c r="AF21">
        <v>6602</v>
      </c>
    </row>
    <row r="22" spans="1:32" x14ac:dyDescent="0.2">
      <c r="A22" t="s">
        <v>16</v>
      </c>
      <c r="B22" t="s">
        <v>15</v>
      </c>
      <c r="C22" t="s">
        <v>14</v>
      </c>
      <c r="D22">
        <v>9885</v>
      </c>
      <c r="E22">
        <v>145637</v>
      </c>
      <c r="F22">
        <v>1710</v>
      </c>
      <c r="G22">
        <v>67904</v>
      </c>
      <c r="H22">
        <v>67904</v>
      </c>
      <c r="I22">
        <v>77733</v>
      </c>
      <c r="J22">
        <v>0</v>
      </c>
      <c r="K22">
        <v>313</v>
      </c>
      <c r="L22">
        <v>313</v>
      </c>
      <c r="M22">
        <v>0</v>
      </c>
      <c r="N22">
        <v>0</v>
      </c>
      <c r="O22">
        <v>64</v>
      </c>
      <c r="P22">
        <v>76</v>
      </c>
      <c r="Q22">
        <v>132</v>
      </c>
      <c r="R22">
        <v>41</v>
      </c>
      <c r="S22">
        <v>0</v>
      </c>
      <c r="T22">
        <v>0</v>
      </c>
      <c r="U22">
        <v>0</v>
      </c>
      <c r="V22">
        <v>3335</v>
      </c>
      <c r="W22">
        <v>2009</v>
      </c>
      <c r="X22">
        <v>2215</v>
      </c>
      <c r="Y22">
        <v>20420</v>
      </c>
      <c r="Z22">
        <v>5020</v>
      </c>
      <c r="AA22">
        <v>7353</v>
      </c>
      <c r="AB22">
        <v>7765</v>
      </c>
      <c r="AC22">
        <v>13115</v>
      </c>
      <c r="AD22">
        <v>9911</v>
      </c>
      <c r="AE22">
        <v>4732</v>
      </c>
      <c r="AF22">
        <v>6834</v>
      </c>
    </row>
    <row r="23" spans="1:32" x14ac:dyDescent="0.2">
      <c r="A23" t="s">
        <v>16</v>
      </c>
      <c r="B23" t="s">
        <v>15</v>
      </c>
      <c r="C23" t="s">
        <v>14</v>
      </c>
      <c r="D23" t="s">
        <v>13</v>
      </c>
      <c r="E23">
        <v>375279</v>
      </c>
      <c r="F23">
        <v>7</v>
      </c>
      <c r="G23">
        <v>3129773</v>
      </c>
      <c r="H23">
        <v>997408</v>
      </c>
      <c r="I23">
        <v>4674392</v>
      </c>
      <c r="J23">
        <v>76694</v>
      </c>
      <c r="K23">
        <v>12224</v>
      </c>
      <c r="L23">
        <v>12720</v>
      </c>
      <c r="M23">
        <v>8</v>
      </c>
      <c r="N23">
        <v>3640</v>
      </c>
      <c r="O23">
        <v>1794</v>
      </c>
      <c r="P23">
        <v>1867</v>
      </c>
      <c r="Q23">
        <v>2073</v>
      </c>
      <c r="R23">
        <v>1174</v>
      </c>
      <c r="S23">
        <v>1</v>
      </c>
      <c r="T23">
        <v>2163</v>
      </c>
      <c r="U23">
        <v>2132365</v>
      </c>
      <c r="V23">
        <v>43160</v>
      </c>
      <c r="W23">
        <v>22777</v>
      </c>
      <c r="X23">
        <v>28163</v>
      </c>
      <c r="Y23">
        <v>408276</v>
      </c>
      <c r="Z23">
        <v>64166</v>
      </c>
      <c r="AA23">
        <v>88714</v>
      </c>
      <c r="AB23">
        <v>99486</v>
      </c>
      <c r="AC23">
        <v>147266</v>
      </c>
      <c r="AD23">
        <v>120797</v>
      </c>
      <c r="AE23">
        <v>61383</v>
      </c>
      <c r="AF23">
        <v>88696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B234-3095-EE48-BB15-3F0A053024FC}">
  <dimension ref="A1:AF23"/>
  <sheetViews>
    <sheetView workbookViewId="0">
      <selection activeCell="N5" sqref="N5:N23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53</v>
      </c>
    </row>
    <row r="3" spans="1:32" x14ac:dyDescent="0.2">
      <c r="A3" t="s">
        <v>52</v>
      </c>
      <c r="B3" t="s">
        <v>51</v>
      </c>
      <c r="C3" t="s">
        <v>50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5724722</v>
      </c>
      <c r="F5">
        <v>145339</v>
      </c>
      <c r="G5">
        <v>974019</v>
      </c>
      <c r="H5">
        <v>974019</v>
      </c>
      <c r="I5">
        <v>4750703</v>
      </c>
      <c r="J5">
        <v>0</v>
      </c>
      <c r="K5">
        <v>1022</v>
      </c>
      <c r="L5">
        <v>1022</v>
      </c>
      <c r="M5">
        <v>1</v>
      </c>
      <c r="N5">
        <v>8</v>
      </c>
      <c r="O5">
        <v>33</v>
      </c>
      <c r="P5">
        <v>365</v>
      </c>
      <c r="Q5">
        <v>582</v>
      </c>
      <c r="R5">
        <v>31</v>
      </c>
      <c r="S5">
        <v>2</v>
      </c>
      <c r="T5">
        <v>0</v>
      </c>
      <c r="U5">
        <v>0</v>
      </c>
      <c r="V5">
        <v>20864</v>
      </c>
      <c r="W5">
        <v>16432</v>
      </c>
      <c r="X5">
        <v>16430</v>
      </c>
      <c r="Y5">
        <v>552953</v>
      </c>
      <c r="Z5">
        <v>53055</v>
      </c>
      <c r="AA5">
        <v>53728</v>
      </c>
      <c r="AB5">
        <v>53724</v>
      </c>
      <c r="AC5">
        <v>148478</v>
      </c>
      <c r="AD5">
        <v>72524</v>
      </c>
      <c r="AE5">
        <v>30070</v>
      </c>
      <c r="AF5">
        <v>62191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6009051</v>
      </c>
      <c r="F6">
        <v>139879</v>
      </c>
      <c r="G6">
        <v>2093464</v>
      </c>
      <c r="H6">
        <v>2093464</v>
      </c>
      <c r="I6">
        <v>3915587</v>
      </c>
      <c r="J6">
        <v>0</v>
      </c>
      <c r="K6">
        <v>17547</v>
      </c>
      <c r="L6">
        <v>17547</v>
      </c>
      <c r="M6">
        <v>2</v>
      </c>
      <c r="N6">
        <v>31</v>
      </c>
      <c r="O6">
        <v>5435</v>
      </c>
      <c r="P6">
        <v>3990</v>
      </c>
      <c r="Q6">
        <v>5402</v>
      </c>
      <c r="R6">
        <v>2685</v>
      </c>
      <c r="S6">
        <v>2</v>
      </c>
      <c r="T6">
        <v>0</v>
      </c>
      <c r="U6">
        <v>0</v>
      </c>
      <c r="V6">
        <v>109062</v>
      </c>
      <c r="W6">
        <v>71056</v>
      </c>
      <c r="X6">
        <v>79059</v>
      </c>
      <c r="Y6">
        <v>518418</v>
      </c>
      <c r="Z6">
        <v>157484</v>
      </c>
      <c r="AA6">
        <v>251174</v>
      </c>
      <c r="AB6">
        <v>267180</v>
      </c>
      <c r="AC6">
        <v>445820</v>
      </c>
      <c r="AD6">
        <v>309245</v>
      </c>
      <c r="AE6">
        <v>144004</v>
      </c>
      <c r="AF6">
        <v>241764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5788765</v>
      </c>
      <c r="F7">
        <v>128605</v>
      </c>
      <c r="G7">
        <v>1702911</v>
      </c>
      <c r="H7">
        <v>1702911</v>
      </c>
      <c r="I7">
        <v>4085854</v>
      </c>
      <c r="J7">
        <v>0</v>
      </c>
      <c r="K7">
        <v>20182</v>
      </c>
      <c r="L7">
        <v>20182</v>
      </c>
      <c r="M7">
        <v>3</v>
      </c>
      <c r="N7">
        <v>70</v>
      </c>
      <c r="O7">
        <v>3215</v>
      </c>
      <c r="P7">
        <v>4932</v>
      </c>
      <c r="Q7">
        <v>10454</v>
      </c>
      <c r="R7">
        <v>1505</v>
      </c>
      <c r="S7">
        <v>2</v>
      </c>
      <c r="T7">
        <v>0</v>
      </c>
      <c r="U7">
        <v>0</v>
      </c>
      <c r="V7">
        <v>54642</v>
      </c>
      <c r="W7">
        <v>33291</v>
      </c>
      <c r="X7">
        <v>35515</v>
      </c>
      <c r="Y7">
        <v>509251</v>
      </c>
      <c r="Z7">
        <v>211112</v>
      </c>
      <c r="AA7">
        <v>121224</v>
      </c>
      <c r="AB7">
        <v>125672</v>
      </c>
      <c r="AC7">
        <v>336407</v>
      </c>
      <c r="AD7">
        <v>258418</v>
      </c>
      <c r="AE7">
        <v>98968</v>
      </c>
      <c r="AF7">
        <v>145125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6461570</v>
      </c>
      <c r="F8">
        <v>51616</v>
      </c>
      <c r="G8">
        <v>6700857</v>
      </c>
      <c r="H8">
        <v>6346637</v>
      </c>
      <c r="I8">
        <v>12281015</v>
      </c>
      <c r="J8">
        <v>402838</v>
      </c>
      <c r="K8">
        <v>436609</v>
      </c>
      <c r="L8">
        <v>438591</v>
      </c>
      <c r="M8">
        <v>59</v>
      </c>
      <c r="N8">
        <v>138103</v>
      </c>
      <c r="O8">
        <v>58058</v>
      </c>
      <c r="P8">
        <v>61795</v>
      </c>
      <c r="Q8">
        <v>63722</v>
      </c>
      <c r="R8">
        <v>40057</v>
      </c>
      <c r="S8">
        <v>46</v>
      </c>
      <c r="T8">
        <v>76749</v>
      </c>
      <c r="U8">
        <v>354220</v>
      </c>
      <c r="V8">
        <v>385388</v>
      </c>
      <c r="W8">
        <v>195637</v>
      </c>
      <c r="X8">
        <v>233262</v>
      </c>
      <c r="Y8">
        <v>1415557</v>
      </c>
      <c r="Z8">
        <v>432827</v>
      </c>
      <c r="AA8">
        <v>776662</v>
      </c>
      <c r="AB8">
        <v>851912</v>
      </c>
      <c r="AC8">
        <v>1136675</v>
      </c>
      <c r="AD8">
        <v>905105</v>
      </c>
      <c r="AE8">
        <v>501666</v>
      </c>
      <c r="AF8">
        <v>701905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5825634</v>
      </c>
      <c r="F9">
        <v>124525</v>
      </c>
      <c r="G9">
        <v>2033150</v>
      </c>
      <c r="H9">
        <v>2033150</v>
      </c>
      <c r="I9">
        <v>3792484</v>
      </c>
      <c r="J9">
        <v>0</v>
      </c>
      <c r="K9">
        <v>15664</v>
      </c>
      <c r="L9">
        <v>15664</v>
      </c>
      <c r="M9">
        <v>0</v>
      </c>
      <c r="N9">
        <v>26</v>
      </c>
      <c r="O9">
        <v>4009</v>
      </c>
      <c r="P9">
        <v>3140</v>
      </c>
      <c r="Q9">
        <v>5764</v>
      </c>
      <c r="R9">
        <v>2724</v>
      </c>
      <c r="S9">
        <v>1</v>
      </c>
      <c r="T9">
        <v>0</v>
      </c>
      <c r="U9">
        <v>0</v>
      </c>
      <c r="V9">
        <v>102625</v>
      </c>
      <c r="W9">
        <v>51807</v>
      </c>
      <c r="X9">
        <v>69022</v>
      </c>
      <c r="Y9">
        <v>513928</v>
      </c>
      <c r="Z9">
        <v>182890</v>
      </c>
      <c r="AA9">
        <v>206239</v>
      </c>
      <c r="AB9">
        <v>240669</v>
      </c>
      <c r="AC9">
        <v>387809</v>
      </c>
      <c r="AD9">
        <v>331235</v>
      </c>
      <c r="AE9">
        <v>155561</v>
      </c>
      <c r="AF9">
        <v>222602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5813956</v>
      </c>
      <c r="F10">
        <v>139552</v>
      </c>
      <c r="G10">
        <v>574626</v>
      </c>
      <c r="H10">
        <v>574626</v>
      </c>
      <c r="I10">
        <v>5239330</v>
      </c>
      <c r="J10">
        <v>0</v>
      </c>
      <c r="K10">
        <v>279</v>
      </c>
      <c r="L10">
        <v>279</v>
      </c>
      <c r="M10">
        <v>2</v>
      </c>
      <c r="N10">
        <v>2</v>
      </c>
      <c r="O10">
        <v>0</v>
      </c>
      <c r="P10">
        <v>99</v>
      </c>
      <c r="Q10">
        <v>173</v>
      </c>
      <c r="R10">
        <v>1</v>
      </c>
      <c r="S10">
        <v>2</v>
      </c>
      <c r="T10">
        <v>0</v>
      </c>
      <c r="U10">
        <v>0</v>
      </c>
      <c r="V10">
        <v>2150</v>
      </c>
      <c r="W10">
        <v>1658</v>
      </c>
      <c r="X10">
        <v>1609</v>
      </c>
      <c r="Y10">
        <v>504184</v>
      </c>
      <c r="Z10">
        <v>11544</v>
      </c>
      <c r="AA10">
        <v>5466</v>
      </c>
      <c r="AB10">
        <v>5368</v>
      </c>
      <c r="AC10">
        <v>27102</v>
      </c>
      <c r="AD10">
        <v>10353</v>
      </c>
      <c r="AE10">
        <v>4013</v>
      </c>
      <c r="AF10">
        <v>11733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5786689</v>
      </c>
      <c r="F11">
        <v>122995</v>
      </c>
      <c r="G11">
        <v>568209</v>
      </c>
      <c r="H11">
        <v>568209</v>
      </c>
      <c r="I11">
        <v>5218480</v>
      </c>
      <c r="J11">
        <v>0</v>
      </c>
      <c r="K11">
        <v>352</v>
      </c>
      <c r="L11">
        <v>352</v>
      </c>
      <c r="M11">
        <v>1</v>
      </c>
      <c r="N11">
        <v>5</v>
      </c>
      <c r="O11">
        <v>3</v>
      </c>
      <c r="P11">
        <v>136</v>
      </c>
      <c r="Q11">
        <v>203</v>
      </c>
      <c r="R11">
        <v>3</v>
      </c>
      <c r="S11">
        <v>1</v>
      </c>
      <c r="T11">
        <v>0</v>
      </c>
      <c r="U11">
        <v>0</v>
      </c>
      <c r="V11">
        <v>2664</v>
      </c>
      <c r="W11">
        <v>1801</v>
      </c>
      <c r="X11">
        <v>1612</v>
      </c>
      <c r="Y11">
        <v>503758</v>
      </c>
      <c r="Z11">
        <v>9437</v>
      </c>
      <c r="AA11">
        <v>6266</v>
      </c>
      <c r="AB11">
        <v>5888</v>
      </c>
      <c r="AC11">
        <v>23642</v>
      </c>
      <c r="AD11">
        <v>11568</v>
      </c>
      <c r="AE11">
        <v>4057</v>
      </c>
      <c r="AF11">
        <v>9318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5784415</v>
      </c>
      <c r="F12">
        <v>141284</v>
      </c>
      <c r="G12">
        <v>2097450</v>
      </c>
      <c r="H12">
        <v>2097450</v>
      </c>
      <c r="I12">
        <v>3686965</v>
      </c>
      <c r="J12">
        <v>0</v>
      </c>
      <c r="K12">
        <v>481</v>
      </c>
      <c r="L12">
        <v>481</v>
      </c>
      <c r="M12">
        <v>1</v>
      </c>
      <c r="N12">
        <v>52</v>
      </c>
      <c r="O12">
        <v>68</v>
      </c>
      <c r="P12">
        <v>166</v>
      </c>
      <c r="Q12">
        <v>155</v>
      </c>
      <c r="R12">
        <v>38</v>
      </c>
      <c r="S12">
        <v>1</v>
      </c>
      <c r="T12">
        <v>0</v>
      </c>
      <c r="U12">
        <v>0</v>
      </c>
      <c r="V12">
        <v>131392</v>
      </c>
      <c r="W12">
        <v>59841</v>
      </c>
      <c r="X12">
        <v>83602</v>
      </c>
      <c r="Y12">
        <v>515738</v>
      </c>
      <c r="Z12">
        <v>187167</v>
      </c>
      <c r="AA12">
        <v>251074</v>
      </c>
      <c r="AB12">
        <v>298596</v>
      </c>
      <c r="AC12">
        <v>348053</v>
      </c>
      <c r="AD12">
        <v>345806</v>
      </c>
      <c r="AE12">
        <v>173963</v>
      </c>
      <c r="AF12">
        <v>251403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6029072</v>
      </c>
      <c r="F13">
        <v>151155</v>
      </c>
      <c r="G13">
        <v>2191441</v>
      </c>
      <c r="H13">
        <v>2191441</v>
      </c>
      <c r="I13">
        <v>3837631</v>
      </c>
      <c r="J13">
        <v>0</v>
      </c>
      <c r="K13">
        <v>22126</v>
      </c>
      <c r="L13">
        <v>22126</v>
      </c>
      <c r="M13">
        <v>2</v>
      </c>
      <c r="N13">
        <v>50</v>
      </c>
      <c r="O13">
        <v>4812</v>
      </c>
      <c r="P13">
        <v>8547</v>
      </c>
      <c r="Q13">
        <v>6573</v>
      </c>
      <c r="R13">
        <v>2136</v>
      </c>
      <c r="S13">
        <v>5</v>
      </c>
      <c r="T13">
        <v>1</v>
      </c>
      <c r="U13">
        <v>0</v>
      </c>
      <c r="V13">
        <v>102875</v>
      </c>
      <c r="W13">
        <v>55429</v>
      </c>
      <c r="X13">
        <v>67191</v>
      </c>
      <c r="Y13">
        <v>525411</v>
      </c>
      <c r="Z13">
        <v>242928</v>
      </c>
      <c r="AA13">
        <v>213733</v>
      </c>
      <c r="AB13">
        <v>237257</v>
      </c>
      <c r="AC13">
        <v>435482</v>
      </c>
      <c r="AD13">
        <v>342251</v>
      </c>
      <c r="AE13">
        <v>157841</v>
      </c>
      <c r="AF13">
        <v>239900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4341154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5809180</v>
      </c>
      <c r="F15">
        <v>149252</v>
      </c>
      <c r="G15">
        <v>2136711</v>
      </c>
      <c r="H15">
        <v>2136711</v>
      </c>
      <c r="I15">
        <v>3672469</v>
      </c>
      <c r="J15">
        <v>0</v>
      </c>
      <c r="K15">
        <v>11225</v>
      </c>
      <c r="L15">
        <v>11225</v>
      </c>
      <c r="M15">
        <v>2</v>
      </c>
      <c r="N15">
        <v>31</v>
      </c>
      <c r="O15">
        <v>3308</v>
      </c>
      <c r="P15">
        <v>3008</v>
      </c>
      <c r="Q15">
        <v>3497</v>
      </c>
      <c r="R15">
        <v>1378</v>
      </c>
      <c r="S15">
        <v>1</v>
      </c>
      <c r="T15">
        <v>0</v>
      </c>
      <c r="U15">
        <v>0</v>
      </c>
      <c r="V15">
        <v>138607</v>
      </c>
      <c r="W15">
        <v>62785</v>
      </c>
      <c r="X15">
        <v>89816</v>
      </c>
      <c r="Y15">
        <v>524707</v>
      </c>
      <c r="Z15">
        <v>178246</v>
      </c>
      <c r="AA15">
        <v>264177</v>
      </c>
      <c r="AB15">
        <v>318239</v>
      </c>
      <c r="AC15">
        <v>352275</v>
      </c>
      <c r="AD15">
        <v>344963</v>
      </c>
      <c r="AE15">
        <v>180572</v>
      </c>
      <c r="AF15">
        <v>253508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5798535</v>
      </c>
      <c r="F16">
        <v>140708</v>
      </c>
      <c r="G16">
        <v>1917723</v>
      </c>
      <c r="H16">
        <v>1917723</v>
      </c>
      <c r="I16">
        <v>3880812</v>
      </c>
      <c r="J16">
        <v>0</v>
      </c>
      <c r="K16">
        <v>1388</v>
      </c>
      <c r="L16">
        <v>1388</v>
      </c>
      <c r="M16">
        <v>1</v>
      </c>
      <c r="N16">
        <v>31</v>
      </c>
      <c r="O16">
        <v>225</v>
      </c>
      <c r="P16">
        <v>303</v>
      </c>
      <c r="Q16">
        <v>708</v>
      </c>
      <c r="R16">
        <v>115</v>
      </c>
      <c r="S16">
        <v>5</v>
      </c>
      <c r="T16">
        <v>0</v>
      </c>
      <c r="U16">
        <v>0</v>
      </c>
      <c r="V16">
        <v>76011</v>
      </c>
      <c r="W16">
        <v>73726</v>
      </c>
      <c r="X16">
        <v>68702</v>
      </c>
      <c r="Y16">
        <v>513006</v>
      </c>
      <c r="Z16">
        <v>125106</v>
      </c>
      <c r="AA16">
        <v>223463</v>
      </c>
      <c r="AB16">
        <v>213415</v>
      </c>
      <c r="AC16">
        <v>498500</v>
      </c>
      <c r="AD16">
        <v>233558</v>
      </c>
      <c r="AE16">
        <v>104212</v>
      </c>
      <c r="AF16">
        <v>223510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5759928</v>
      </c>
      <c r="F17">
        <v>144500</v>
      </c>
      <c r="G17">
        <v>516875</v>
      </c>
      <c r="H17">
        <v>516875</v>
      </c>
      <c r="I17">
        <v>5243053</v>
      </c>
      <c r="J17">
        <v>0</v>
      </c>
      <c r="K17">
        <v>224</v>
      </c>
      <c r="L17">
        <v>224</v>
      </c>
      <c r="M17">
        <v>8</v>
      </c>
      <c r="N17">
        <v>4</v>
      </c>
      <c r="O17">
        <v>4</v>
      </c>
      <c r="P17">
        <v>76</v>
      </c>
      <c r="Q17">
        <v>126</v>
      </c>
      <c r="R17">
        <v>5</v>
      </c>
      <c r="S17">
        <v>1</v>
      </c>
      <c r="T17">
        <v>0</v>
      </c>
      <c r="U17">
        <v>0</v>
      </c>
      <c r="V17">
        <v>1543</v>
      </c>
      <c r="W17">
        <v>1058</v>
      </c>
      <c r="X17">
        <v>1065</v>
      </c>
      <c r="Y17">
        <v>468298</v>
      </c>
      <c r="Z17">
        <v>8399</v>
      </c>
      <c r="AA17">
        <v>3659</v>
      </c>
      <c r="AB17">
        <v>3673</v>
      </c>
      <c r="AC17">
        <v>18323</v>
      </c>
      <c r="AD17">
        <v>7471</v>
      </c>
      <c r="AE17">
        <v>2738</v>
      </c>
      <c r="AF17">
        <v>7756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5841282</v>
      </c>
      <c r="F18">
        <v>92260</v>
      </c>
      <c r="G18">
        <v>847345</v>
      </c>
      <c r="H18">
        <v>846901</v>
      </c>
      <c r="I18">
        <v>10582005</v>
      </c>
      <c r="J18">
        <v>253214</v>
      </c>
      <c r="K18">
        <v>814</v>
      </c>
      <c r="L18">
        <v>817</v>
      </c>
      <c r="M18">
        <v>1</v>
      </c>
      <c r="N18">
        <v>1</v>
      </c>
      <c r="O18">
        <v>2</v>
      </c>
      <c r="P18">
        <v>417</v>
      </c>
      <c r="Q18">
        <v>394</v>
      </c>
      <c r="R18">
        <v>2</v>
      </c>
      <c r="S18">
        <v>0</v>
      </c>
      <c r="T18">
        <v>0</v>
      </c>
      <c r="U18">
        <v>444</v>
      </c>
      <c r="V18">
        <v>1433</v>
      </c>
      <c r="W18">
        <v>881</v>
      </c>
      <c r="X18">
        <v>1087</v>
      </c>
      <c r="Y18">
        <v>815120</v>
      </c>
      <c r="Z18">
        <v>3993</v>
      </c>
      <c r="AA18">
        <v>3195</v>
      </c>
      <c r="AB18">
        <v>3607</v>
      </c>
      <c r="AC18">
        <v>10466</v>
      </c>
      <c r="AD18">
        <v>4556</v>
      </c>
      <c r="AE18">
        <v>2262</v>
      </c>
      <c r="AF18">
        <v>6286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5900074</v>
      </c>
      <c r="F19">
        <v>169256</v>
      </c>
      <c r="G19">
        <v>493507</v>
      </c>
      <c r="H19">
        <v>493507</v>
      </c>
      <c r="I19">
        <v>5406567</v>
      </c>
      <c r="J19">
        <v>0</v>
      </c>
      <c r="K19">
        <v>266</v>
      </c>
      <c r="L19">
        <v>266</v>
      </c>
      <c r="M19">
        <v>2</v>
      </c>
      <c r="N19">
        <v>4</v>
      </c>
      <c r="O19">
        <v>5</v>
      </c>
      <c r="P19">
        <v>102</v>
      </c>
      <c r="Q19">
        <v>141</v>
      </c>
      <c r="R19">
        <v>3</v>
      </c>
      <c r="S19">
        <v>9</v>
      </c>
      <c r="T19">
        <v>0</v>
      </c>
      <c r="U19">
        <v>0</v>
      </c>
      <c r="V19">
        <v>1041</v>
      </c>
      <c r="W19">
        <v>1610</v>
      </c>
      <c r="X19">
        <v>946</v>
      </c>
      <c r="Y19">
        <v>449016</v>
      </c>
      <c r="Z19">
        <v>3781</v>
      </c>
      <c r="AA19">
        <v>4261</v>
      </c>
      <c r="AB19">
        <v>2933</v>
      </c>
      <c r="AC19">
        <v>24273</v>
      </c>
      <c r="AD19">
        <v>3700</v>
      </c>
      <c r="AE19">
        <v>1466</v>
      </c>
      <c r="AF19">
        <v>7408</v>
      </c>
    </row>
    <row r="20" spans="1:32" x14ac:dyDescent="0.2">
      <c r="A20" t="s">
        <v>16</v>
      </c>
      <c r="B20" t="s">
        <v>15</v>
      </c>
      <c r="C20" t="s">
        <v>14</v>
      </c>
      <c r="D20">
        <v>8718</v>
      </c>
      <c r="E20">
        <v>5917294</v>
      </c>
      <c r="F20">
        <v>69871</v>
      </c>
      <c r="G20">
        <v>4239892</v>
      </c>
      <c r="H20">
        <v>4238466</v>
      </c>
      <c r="I20">
        <v>7404868</v>
      </c>
      <c r="J20">
        <v>189828</v>
      </c>
      <c r="K20">
        <v>580</v>
      </c>
      <c r="L20">
        <v>613</v>
      </c>
      <c r="M20">
        <v>3</v>
      </c>
      <c r="N20">
        <v>62</v>
      </c>
      <c r="O20">
        <v>119</v>
      </c>
      <c r="P20">
        <v>172</v>
      </c>
      <c r="Q20">
        <v>219</v>
      </c>
      <c r="R20">
        <v>37</v>
      </c>
      <c r="S20">
        <v>1</v>
      </c>
      <c r="T20">
        <v>0</v>
      </c>
      <c r="U20">
        <v>1426</v>
      </c>
      <c r="V20">
        <v>261831</v>
      </c>
      <c r="W20">
        <v>118237</v>
      </c>
      <c r="X20">
        <v>171750</v>
      </c>
      <c r="Y20">
        <v>1046073</v>
      </c>
      <c r="Z20">
        <v>388732</v>
      </c>
      <c r="AA20">
        <v>498305</v>
      </c>
      <c r="AB20">
        <v>605331</v>
      </c>
      <c r="AC20">
        <v>680963</v>
      </c>
      <c r="AD20">
        <v>709437</v>
      </c>
      <c r="AE20">
        <v>363669</v>
      </c>
      <c r="AF20">
        <v>497157</v>
      </c>
    </row>
    <row r="21" spans="1:32" x14ac:dyDescent="0.2">
      <c r="A21" t="s">
        <v>16</v>
      </c>
      <c r="B21" t="s">
        <v>15</v>
      </c>
      <c r="C21" t="s">
        <v>14</v>
      </c>
      <c r="D21">
        <v>9009</v>
      </c>
      <c r="E21">
        <v>5815234</v>
      </c>
      <c r="F21">
        <v>144961</v>
      </c>
      <c r="G21">
        <v>2076141</v>
      </c>
      <c r="H21">
        <v>2076141</v>
      </c>
      <c r="I21">
        <v>3739093</v>
      </c>
      <c r="J21">
        <v>0</v>
      </c>
      <c r="K21">
        <v>419</v>
      </c>
      <c r="L21">
        <v>419</v>
      </c>
      <c r="M21">
        <v>0</v>
      </c>
      <c r="N21">
        <v>36</v>
      </c>
      <c r="O21">
        <v>112</v>
      </c>
      <c r="P21">
        <v>103</v>
      </c>
      <c r="Q21">
        <v>151</v>
      </c>
      <c r="R21">
        <v>16</v>
      </c>
      <c r="S21">
        <v>0</v>
      </c>
      <c r="T21">
        <v>0</v>
      </c>
      <c r="U21">
        <v>0</v>
      </c>
      <c r="V21">
        <v>144507</v>
      </c>
      <c r="W21">
        <v>60779</v>
      </c>
      <c r="X21">
        <v>94946</v>
      </c>
      <c r="Y21">
        <v>508890</v>
      </c>
      <c r="Z21">
        <v>167812</v>
      </c>
      <c r="AA21">
        <v>266065</v>
      </c>
      <c r="AB21">
        <v>334399</v>
      </c>
      <c r="AC21">
        <v>325807</v>
      </c>
      <c r="AD21">
        <v>337992</v>
      </c>
      <c r="AE21">
        <v>185743</v>
      </c>
      <c r="AF21">
        <v>249242</v>
      </c>
    </row>
    <row r="22" spans="1:32" x14ac:dyDescent="0.2">
      <c r="A22" t="s">
        <v>16</v>
      </c>
      <c r="B22" t="s">
        <v>15</v>
      </c>
      <c r="C22" t="s">
        <v>14</v>
      </c>
      <c r="D22">
        <v>9885</v>
      </c>
      <c r="E22">
        <v>5810624</v>
      </c>
      <c r="F22">
        <v>149070</v>
      </c>
      <c r="G22">
        <v>2255937</v>
      </c>
      <c r="H22">
        <v>2255937</v>
      </c>
      <c r="I22">
        <v>3554687</v>
      </c>
      <c r="J22">
        <v>0</v>
      </c>
      <c r="K22">
        <v>23999</v>
      </c>
      <c r="L22">
        <v>23999</v>
      </c>
      <c r="M22">
        <v>1</v>
      </c>
      <c r="N22">
        <v>32</v>
      </c>
      <c r="O22">
        <v>6386</v>
      </c>
      <c r="P22">
        <v>5029</v>
      </c>
      <c r="Q22">
        <v>9327</v>
      </c>
      <c r="R22">
        <v>3220</v>
      </c>
      <c r="S22">
        <v>4</v>
      </c>
      <c r="T22">
        <v>0</v>
      </c>
      <c r="U22">
        <v>0</v>
      </c>
      <c r="V22">
        <v>117964</v>
      </c>
      <c r="W22">
        <v>77886</v>
      </c>
      <c r="X22">
        <v>81102</v>
      </c>
      <c r="Y22">
        <v>531143</v>
      </c>
      <c r="Z22">
        <v>177251</v>
      </c>
      <c r="AA22">
        <v>273736</v>
      </c>
      <c r="AB22">
        <v>280168</v>
      </c>
      <c r="AC22">
        <v>507085</v>
      </c>
      <c r="AD22">
        <v>352627</v>
      </c>
      <c r="AE22">
        <v>154950</v>
      </c>
      <c r="AF22">
        <v>231927</v>
      </c>
    </row>
    <row r="23" spans="1:32" x14ac:dyDescent="0.2">
      <c r="A23" t="s">
        <v>16</v>
      </c>
      <c r="B23" t="s">
        <v>15</v>
      </c>
      <c r="C23" t="s">
        <v>14</v>
      </c>
      <c r="D23" t="s">
        <v>13</v>
      </c>
      <c r="E23">
        <v>14516536</v>
      </c>
      <c r="F23">
        <v>521</v>
      </c>
      <c r="G23">
        <v>108516249</v>
      </c>
      <c r="H23">
        <v>32591158</v>
      </c>
      <c r="I23">
        <v>189369381</v>
      </c>
      <c r="J23">
        <v>6961626</v>
      </c>
      <c r="K23">
        <v>516140</v>
      </c>
      <c r="L23">
        <v>549161</v>
      </c>
      <c r="M23">
        <v>86</v>
      </c>
      <c r="N23">
        <v>136480</v>
      </c>
      <c r="O23">
        <v>84964</v>
      </c>
      <c r="P23">
        <v>91641</v>
      </c>
      <c r="Q23">
        <v>106529</v>
      </c>
      <c r="R23">
        <v>53337</v>
      </c>
      <c r="S23">
        <v>83</v>
      </c>
      <c r="T23">
        <v>76030</v>
      </c>
      <c r="U23">
        <v>75925091</v>
      </c>
      <c r="V23">
        <v>1616648</v>
      </c>
      <c r="W23">
        <v>865537</v>
      </c>
      <c r="X23">
        <v>1081237</v>
      </c>
      <c r="Y23">
        <v>10322946</v>
      </c>
      <c r="Z23">
        <v>2508360</v>
      </c>
      <c r="AA23">
        <v>3347722</v>
      </c>
      <c r="AB23">
        <v>3779122</v>
      </c>
      <c r="AC23">
        <v>5597665</v>
      </c>
      <c r="AD23">
        <v>4492541</v>
      </c>
      <c r="AE23">
        <v>2232050</v>
      </c>
      <c r="AF23">
        <v>3324738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6001-B97F-CE47-B895-3803F21A04AB}">
  <dimension ref="A1:AF23"/>
  <sheetViews>
    <sheetView workbookViewId="0">
      <selection activeCell="N5" sqref="N5:N23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53</v>
      </c>
    </row>
    <row r="3" spans="1:32" x14ac:dyDescent="0.2">
      <c r="A3" t="s">
        <v>52</v>
      </c>
      <c r="B3" t="s">
        <v>51</v>
      </c>
      <c r="C3" t="s">
        <v>50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137528</v>
      </c>
      <c r="F5">
        <v>1666</v>
      </c>
      <c r="G5">
        <v>23335</v>
      </c>
      <c r="H5">
        <v>23335</v>
      </c>
      <c r="I5">
        <v>114193</v>
      </c>
      <c r="J5">
        <v>0</v>
      </c>
      <c r="K5">
        <v>12</v>
      </c>
      <c r="L5">
        <v>12</v>
      </c>
      <c r="M5">
        <v>0</v>
      </c>
      <c r="N5">
        <v>0</v>
      </c>
      <c r="O5">
        <v>0</v>
      </c>
      <c r="P5">
        <v>3</v>
      </c>
      <c r="Q5">
        <v>9</v>
      </c>
      <c r="R5">
        <v>0</v>
      </c>
      <c r="S5">
        <v>0</v>
      </c>
      <c r="T5">
        <v>0</v>
      </c>
      <c r="U5">
        <v>0</v>
      </c>
      <c r="V5">
        <v>441</v>
      </c>
      <c r="W5">
        <v>335</v>
      </c>
      <c r="X5">
        <v>304</v>
      </c>
      <c r="Y5">
        <v>14111</v>
      </c>
      <c r="Z5">
        <v>1174</v>
      </c>
      <c r="AA5">
        <v>1111</v>
      </c>
      <c r="AB5">
        <v>1049</v>
      </c>
      <c r="AC5">
        <v>3399</v>
      </c>
      <c r="AD5">
        <v>1568</v>
      </c>
      <c r="AE5">
        <v>615</v>
      </c>
      <c r="AF5">
        <v>1376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144645</v>
      </c>
      <c r="F6">
        <v>1553</v>
      </c>
      <c r="G6">
        <v>56310</v>
      </c>
      <c r="H6">
        <v>56310</v>
      </c>
      <c r="I6">
        <v>88335</v>
      </c>
      <c r="J6">
        <v>0</v>
      </c>
      <c r="K6">
        <v>270</v>
      </c>
      <c r="L6">
        <v>270</v>
      </c>
      <c r="M6">
        <v>0</v>
      </c>
      <c r="N6">
        <v>1</v>
      </c>
      <c r="O6">
        <v>87</v>
      </c>
      <c r="P6">
        <v>54</v>
      </c>
      <c r="Q6">
        <v>89</v>
      </c>
      <c r="R6">
        <v>39</v>
      </c>
      <c r="S6">
        <v>0</v>
      </c>
      <c r="T6">
        <v>0</v>
      </c>
      <c r="U6">
        <v>0</v>
      </c>
      <c r="V6">
        <v>3029</v>
      </c>
      <c r="W6">
        <v>1765</v>
      </c>
      <c r="X6">
        <v>2147</v>
      </c>
      <c r="Y6">
        <v>13648</v>
      </c>
      <c r="Z6">
        <v>4259</v>
      </c>
      <c r="AA6">
        <v>6559</v>
      </c>
      <c r="AB6">
        <v>7323</v>
      </c>
      <c r="AC6">
        <v>12072</v>
      </c>
      <c r="AD6">
        <v>8907</v>
      </c>
      <c r="AE6">
        <v>3842</v>
      </c>
      <c r="AF6">
        <v>6371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138256</v>
      </c>
      <c r="F7">
        <v>1300</v>
      </c>
      <c r="G7">
        <v>48231</v>
      </c>
      <c r="H7">
        <v>48231</v>
      </c>
      <c r="I7">
        <v>90025</v>
      </c>
      <c r="J7">
        <v>0</v>
      </c>
      <c r="K7">
        <v>278</v>
      </c>
      <c r="L7">
        <v>278</v>
      </c>
      <c r="M7">
        <v>0</v>
      </c>
      <c r="N7">
        <v>0</v>
      </c>
      <c r="O7">
        <v>70</v>
      </c>
      <c r="P7">
        <v>58</v>
      </c>
      <c r="Q7">
        <v>136</v>
      </c>
      <c r="R7">
        <v>14</v>
      </c>
      <c r="S7">
        <v>0</v>
      </c>
      <c r="T7">
        <v>0</v>
      </c>
      <c r="U7">
        <v>0</v>
      </c>
      <c r="V7">
        <v>1664</v>
      </c>
      <c r="W7">
        <v>1131</v>
      </c>
      <c r="X7">
        <v>1126</v>
      </c>
      <c r="Y7">
        <v>13207</v>
      </c>
      <c r="Z7">
        <v>5599</v>
      </c>
      <c r="AA7">
        <v>3926</v>
      </c>
      <c r="AB7">
        <v>3916</v>
      </c>
      <c r="AC7">
        <v>10029</v>
      </c>
      <c r="AD7">
        <v>7870</v>
      </c>
      <c r="AE7">
        <v>2901</v>
      </c>
      <c r="AF7">
        <v>4426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152142</v>
      </c>
      <c r="F8">
        <v>458</v>
      </c>
      <c r="G8">
        <v>174347</v>
      </c>
      <c r="H8">
        <v>165465</v>
      </c>
      <c r="I8">
        <v>277512</v>
      </c>
      <c r="J8">
        <v>4567</v>
      </c>
      <c r="K8">
        <v>10981</v>
      </c>
      <c r="L8">
        <v>11000</v>
      </c>
      <c r="M8">
        <v>0</v>
      </c>
      <c r="N8">
        <v>3825</v>
      </c>
      <c r="O8">
        <v>1415</v>
      </c>
      <c r="P8">
        <v>1424</v>
      </c>
      <c r="Q8">
        <v>1429</v>
      </c>
      <c r="R8">
        <v>957</v>
      </c>
      <c r="S8">
        <v>0</v>
      </c>
      <c r="T8">
        <v>1950</v>
      </c>
      <c r="U8">
        <v>8882</v>
      </c>
      <c r="V8">
        <v>10499</v>
      </c>
      <c r="W8">
        <v>5151</v>
      </c>
      <c r="X8">
        <v>6037</v>
      </c>
      <c r="Y8">
        <v>37260</v>
      </c>
      <c r="Z8">
        <v>11220</v>
      </c>
      <c r="AA8">
        <v>20801</v>
      </c>
      <c r="AB8">
        <v>22573</v>
      </c>
      <c r="AC8">
        <v>29160</v>
      </c>
      <c r="AD8">
        <v>24049</v>
      </c>
      <c r="AE8">
        <v>13378</v>
      </c>
      <c r="AF8">
        <v>17711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138575</v>
      </c>
      <c r="F9">
        <v>1280</v>
      </c>
      <c r="G9">
        <v>54586</v>
      </c>
      <c r="H9">
        <v>54586</v>
      </c>
      <c r="I9">
        <v>83989</v>
      </c>
      <c r="J9">
        <v>0</v>
      </c>
      <c r="K9">
        <v>207</v>
      </c>
      <c r="L9">
        <v>207</v>
      </c>
      <c r="M9">
        <v>0</v>
      </c>
      <c r="N9">
        <v>0</v>
      </c>
      <c r="O9">
        <v>42</v>
      </c>
      <c r="P9">
        <v>57</v>
      </c>
      <c r="Q9">
        <v>76</v>
      </c>
      <c r="R9">
        <v>32</v>
      </c>
      <c r="S9">
        <v>0</v>
      </c>
      <c r="T9">
        <v>0</v>
      </c>
      <c r="U9">
        <v>0</v>
      </c>
      <c r="V9">
        <v>2755</v>
      </c>
      <c r="W9">
        <v>1428</v>
      </c>
      <c r="X9">
        <v>1997</v>
      </c>
      <c r="Y9">
        <v>13590</v>
      </c>
      <c r="Z9">
        <v>4838</v>
      </c>
      <c r="AA9">
        <v>5611</v>
      </c>
      <c r="AB9">
        <v>6749</v>
      </c>
      <c r="AC9">
        <v>10524</v>
      </c>
      <c r="AD9">
        <v>9246</v>
      </c>
      <c r="AE9">
        <v>4099</v>
      </c>
      <c r="AF9">
        <v>5902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139337</v>
      </c>
      <c r="F10">
        <v>1381</v>
      </c>
      <c r="G10">
        <v>14647</v>
      </c>
      <c r="H10">
        <v>14647</v>
      </c>
      <c r="I10">
        <v>124690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51</v>
      </c>
      <c r="W10">
        <v>35</v>
      </c>
      <c r="X10">
        <v>42</v>
      </c>
      <c r="Y10">
        <v>13117</v>
      </c>
      <c r="Z10">
        <v>231</v>
      </c>
      <c r="AA10">
        <v>121</v>
      </c>
      <c r="AB10">
        <v>135</v>
      </c>
      <c r="AC10">
        <v>579</v>
      </c>
      <c r="AD10">
        <v>217</v>
      </c>
      <c r="AE10">
        <v>91</v>
      </c>
      <c r="AF10">
        <v>283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139085</v>
      </c>
      <c r="F11">
        <v>1335</v>
      </c>
      <c r="G11">
        <v>14430</v>
      </c>
      <c r="H11">
        <v>14430</v>
      </c>
      <c r="I11">
        <v>124655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47</v>
      </c>
      <c r="W11">
        <v>29</v>
      </c>
      <c r="X11">
        <v>25</v>
      </c>
      <c r="Y11">
        <v>13214</v>
      </c>
      <c r="Z11">
        <v>184</v>
      </c>
      <c r="AA11">
        <v>105</v>
      </c>
      <c r="AB11">
        <v>97</v>
      </c>
      <c r="AC11">
        <v>492</v>
      </c>
      <c r="AD11">
        <v>199</v>
      </c>
      <c r="AE11">
        <v>91</v>
      </c>
      <c r="AF11">
        <v>149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138806</v>
      </c>
      <c r="F12">
        <v>1591</v>
      </c>
      <c r="G12">
        <v>55433</v>
      </c>
      <c r="H12">
        <v>55433</v>
      </c>
      <c r="I12">
        <v>83373</v>
      </c>
      <c r="J12">
        <v>0</v>
      </c>
      <c r="K12">
        <v>2</v>
      </c>
      <c r="L12">
        <v>2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3633</v>
      </c>
      <c r="W12">
        <v>1581</v>
      </c>
      <c r="X12">
        <v>2208</v>
      </c>
      <c r="Y12">
        <v>13643</v>
      </c>
      <c r="Z12">
        <v>4815</v>
      </c>
      <c r="AA12">
        <v>6795</v>
      </c>
      <c r="AB12">
        <v>8049</v>
      </c>
      <c r="AC12">
        <v>9249</v>
      </c>
      <c r="AD12">
        <v>9399</v>
      </c>
      <c r="AE12">
        <v>4423</v>
      </c>
      <c r="AF12">
        <v>6480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144416</v>
      </c>
      <c r="F13">
        <v>1719</v>
      </c>
      <c r="G13">
        <v>57573</v>
      </c>
      <c r="H13">
        <v>57573</v>
      </c>
      <c r="I13">
        <v>86843</v>
      </c>
      <c r="J13">
        <v>0</v>
      </c>
      <c r="K13">
        <v>234</v>
      </c>
      <c r="L13">
        <v>234</v>
      </c>
      <c r="M13">
        <v>0</v>
      </c>
      <c r="N13">
        <v>2</v>
      </c>
      <c r="O13">
        <v>66</v>
      </c>
      <c r="P13">
        <v>78</v>
      </c>
      <c r="Q13">
        <v>68</v>
      </c>
      <c r="R13">
        <v>20</v>
      </c>
      <c r="S13">
        <v>0</v>
      </c>
      <c r="T13">
        <v>0</v>
      </c>
      <c r="U13">
        <v>0</v>
      </c>
      <c r="V13">
        <v>2715</v>
      </c>
      <c r="W13">
        <v>1501</v>
      </c>
      <c r="X13">
        <v>1844</v>
      </c>
      <c r="Y13">
        <v>14182</v>
      </c>
      <c r="Z13">
        <v>6299</v>
      </c>
      <c r="AA13">
        <v>5717</v>
      </c>
      <c r="AB13">
        <v>6403</v>
      </c>
      <c r="AC13">
        <v>11122</v>
      </c>
      <c r="AD13">
        <v>9350</v>
      </c>
      <c r="AE13">
        <v>4093</v>
      </c>
      <c r="AF13">
        <v>6233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103539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138637</v>
      </c>
      <c r="F15">
        <v>1563</v>
      </c>
      <c r="G15">
        <v>55427</v>
      </c>
      <c r="H15">
        <v>55427</v>
      </c>
      <c r="I15">
        <v>83210</v>
      </c>
      <c r="J15">
        <v>0</v>
      </c>
      <c r="K15">
        <v>133</v>
      </c>
      <c r="L15">
        <v>133</v>
      </c>
      <c r="M15">
        <v>0</v>
      </c>
      <c r="N15">
        <v>2</v>
      </c>
      <c r="O15">
        <v>35</v>
      </c>
      <c r="P15">
        <v>37</v>
      </c>
      <c r="Q15">
        <v>40</v>
      </c>
      <c r="R15">
        <v>19</v>
      </c>
      <c r="S15">
        <v>0</v>
      </c>
      <c r="T15">
        <v>0</v>
      </c>
      <c r="U15">
        <v>0</v>
      </c>
      <c r="V15">
        <v>3568</v>
      </c>
      <c r="W15">
        <v>1581</v>
      </c>
      <c r="X15">
        <v>2404</v>
      </c>
      <c r="Y15">
        <v>13495</v>
      </c>
      <c r="Z15">
        <v>4262</v>
      </c>
      <c r="AA15">
        <v>6730</v>
      </c>
      <c r="AB15">
        <v>8376</v>
      </c>
      <c r="AC15">
        <v>9788</v>
      </c>
      <c r="AD15">
        <v>9225</v>
      </c>
      <c r="AE15">
        <v>4745</v>
      </c>
      <c r="AF15">
        <v>6226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138386</v>
      </c>
      <c r="F16">
        <v>1554</v>
      </c>
      <c r="G16">
        <v>53184</v>
      </c>
      <c r="H16">
        <v>53184</v>
      </c>
      <c r="I16">
        <v>85202</v>
      </c>
      <c r="J16">
        <v>0</v>
      </c>
      <c r="K16">
        <v>7</v>
      </c>
      <c r="L16">
        <v>7</v>
      </c>
      <c r="M16">
        <v>0</v>
      </c>
      <c r="N16">
        <v>1</v>
      </c>
      <c r="O16">
        <v>3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2186</v>
      </c>
      <c r="W16">
        <v>2032</v>
      </c>
      <c r="X16">
        <v>2003</v>
      </c>
      <c r="Y16">
        <v>13379</v>
      </c>
      <c r="Z16">
        <v>3426</v>
      </c>
      <c r="AA16">
        <v>6250</v>
      </c>
      <c r="AB16">
        <v>6192</v>
      </c>
      <c r="AC16">
        <v>13529</v>
      </c>
      <c r="AD16">
        <v>7305</v>
      </c>
      <c r="AE16">
        <v>3107</v>
      </c>
      <c r="AF16">
        <v>6210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138299</v>
      </c>
      <c r="F17">
        <v>1646</v>
      </c>
      <c r="G17">
        <v>13513</v>
      </c>
      <c r="H17">
        <v>13513</v>
      </c>
      <c r="I17">
        <v>124786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</v>
      </c>
      <c r="W17">
        <v>32</v>
      </c>
      <c r="X17">
        <v>23</v>
      </c>
      <c r="Y17">
        <v>12459</v>
      </c>
      <c r="Z17">
        <v>188</v>
      </c>
      <c r="AA17">
        <v>91</v>
      </c>
      <c r="AB17">
        <v>73</v>
      </c>
      <c r="AC17">
        <v>419</v>
      </c>
      <c r="AD17">
        <v>147</v>
      </c>
      <c r="AE17">
        <v>53</v>
      </c>
      <c r="AF17">
        <v>165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140098</v>
      </c>
      <c r="F18">
        <v>1302</v>
      </c>
      <c r="G18">
        <v>22373</v>
      </c>
      <c r="H18">
        <v>22369</v>
      </c>
      <c r="I18">
        <v>254330</v>
      </c>
      <c r="J18">
        <v>3493</v>
      </c>
      <c r="K18">
        <v>7</v>
      </c>
      <c r="L18">
        <v>7</v>
      </c>
      <c r="M18">
        <v>0</v>
      </c>
      <c r="N18">
        <v>0</v>
      </c>
      <c r="O18">
        <v>0</v>
      </c>
      <c r="P18">
        <v>4</v>
      </c>
      <c r="Q18">
        <v>3</v>
      </c>
      <c r="R18">
        <v>0</v>
      </c>
      <c r="S18">
        <v>0</v>
      </c>
      <c r="T18">
        <v>0</v>
      </c>
      <c r="U18">
        <v>4</v>
      </c>
      <c r="V18">
        <v>38</v>
      </c>
      <c r="W18">
        <v>24</v>
      </c>
      <c r="X18">
        <v>27</v>
      </c>
      <c r="Y18">
        <v>21669</v>
      </c>
      <c r="Z18">
        <v>75</v>
      </c>
      <c r="AA18">
        <v>86</v>
      </c>
      <c r="AB18">
        <v>92</v>
      </c>
      <c r="AC18">
        <v>225</v>
      </c>
      <c r="AD18">
        <v>115</v>
      </c>
      <c r="AE18">
        <v>46</v>
      </c>
      <c r="AF18">
        <v>143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141888</v>
      </c>
      <c r="F19">
        <v>2304</v>
      </c>
      <c r="G19">
        <v>12495</v>
      </c>
      <c r="H19">
        <v>12495</v>
      </c>
      <c r="I19">
        <v>129393</v>
      </c>
      <c r="J19">
        <v>0</v>
      </c>
      <c r="K19">
        <v>6</v>
      </c>
      <c r="L19">
        <v>6</v>
      </c>
      <c r="M19">
        <v>0</v>
      </c>
      <c r="N19">
        <v>0</v>
      </c>
      <c r="O19">
        <v>0</v>
      </c>
      <c r="P19">
        <v>4</v>
      </c>
      <c r="Q19">
        <v>2</v>
      </c>
      <c r="R19">
        <v>0</v>
      </c>
      <c r="S19">
        <v>0</v>
      </c>
      <c r="T19">
        <v>0</v>
      </c>
      <c r="U19">
        <v>0</v>
      </c>
      <c r="V19">
        <v>21</v>
      </c>
      <c r="W19">
        <v>33</v>
      </c>
      <c r="X19">
        <v>21</v>
      </c>
      <c r="Y19">
        <v>11543</v>
      </c>
      <c r="Z19">
        <v>88</v>
      </c>
      <c r="AA19">
        <v>87</v>
      </c>
      <c r="AB19">
        <v>63</v>
      </c>
      <c r="AC19">
        <v>480</v>
      </c>
      <c r="AD19">
        <v>96</v>
      </c>
      <c r="AE19">
        <v>23</v>
      </c>
      <c r="AF19">
        <v>184</v>
      </c>
    </row>
    <row r="20" spans="1:32" x14ac:dyDescent="0.2">
      <c r="A20" t="s">
        <v>16</v>
      </c>
      <c r="B20" t="s">
        <v>15</v>
      </c>
      <c r="C20" t="s">
        <v>14</v>
      </c>
      <c r="D20">
        <v>8718</v>
      </c>
      <c r="E20">
        <v>139914</v>
      </c>
      <c r="F20">
        <v>632</v>
      </c>
      <c r="G20">
        <v>109677</v>
      </c>
      <c r="H20">
        <v>109649</v>
      </c>
      <c r="I20">
        <v>167953</v>
      </c>
      <c r="J20">
        <v>2198</v>
      </c>
      <c r="K20">
        <v>2</v>
      </c>
      <c r="L20">
        <v>3</v>
      </c>
      <c r="M20">
        <v>0</v>
      </c>
      <c r="N20">
        <v>2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28</v>
      </c>
      <c r="V20">
        <v>6891</v>
      </c>
      <c r="W20">
        <v>3043</v>
      </c>
      <c r="X20">
        <v>4213</v>
      </c>
      <c r="Y20">
        <v>27909</v>
      </c>
      <c r="Z20">
        <v>9247</v>
      </c>
      <c r="AA20">
        <v>12977</v>
      </c>
      <c r="AB20">
        <v>15317</v>
      </c>
      <c r="AC20">
        <v>17819</v>
      </c>
      <c r="AD20">
        <v>18649</v>
      </c>
      <c r="AE20">
        <v>9389</v>
      </c>
      <c r="AF20">
        <v>12486</v>
      </c>
    </row>
    <row r="21" spans="1:32" x14ac:dyDescent="0.2">
      <c r="A21" t="s">
        <v>16</v>
      </c>
      <c r="B21" t="s">
        <v>15</v>
      </c>
      <c r="C21" t="s">
        <v>14</v>
      </c>
      <c r="D21">
        <v>9009</v>
      </c>
      <c r="E21">
        <v>138615</v>
      </c>
      <c r="F21">
        <v>1576</v>
      </c>
      <c r="G21">
        <v>54320</v>
      </c>
      <c r="H21">
        <v>54320</v>
      </c>
      <c r="I21">
        <v>84295</v>
      </c>
      <c r="J21">
        <v>0</v>
      </c>
      <c r="K21">
        <v>6</v>
      </c>
      <c r="L21">
        <v>6</v>
      </c>
      <c r="M21">
        <v>0</v>
      </c>
      <c r="N21">
        <v>1</v>
      </c>
      <c r="O21">
        <v>2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3664</v>
      </c>
      <c r="W21">
        <v>1670</v>
      </c>
      <c r="X21">
        <v>2348</v>
      </c>
      <c r="Y21">
        <v>13306</v>
      </c>
      <c r="Z21">
        <v>4397</v>
      </c>
      <c r="AA21">
        <v>7004</v>
      </c>
      <c r="AB21">
        <v>8360</v>
      </c>
      <c r="AC21">
        <v>8766</v>
      </c>
      <c r="AD21">
        <v>8970</v>
      </c>
      <c r="AE21">
        <v>4906</v>
      </c>
      <c r="AF21">
        <v>6287</v>
      </c>
    </row>
    <row r="22" spans="1:32" x14ac:dyDescent="0.2">
      <c r="A22" t="s">
        <v>16</v>
      </c>
      <c r="B22" t="s">
        <v>15</v>
      </c>
      <c r="C22" t="s">
        <v>14</v>
      </c>
      <c r="D22">
        <v>9885</v>
      </c>
      <c r="E22">
        <v>139440</v>
      </c>
      <c r="F22">
        <v>1487</v>
      </c>
      <c r="G22">
        <v>61195</v>
      </c>
      <c r="H22">
        <v>61195</v>
      </c>
      <c r="I22">
        <v>78245</v>
      </c>
      <c r="J22">
        <v>0</v>
      </c>
      <c r="K22">
        <v>300</v>
      </c>
      <c r="L22">
        <v>300</v>
      </c>
      <c r="M22">
        <v>0</v>
      </c>
      <c r="N22">
        <v>0</v>
      </c>
      <c r="O22">
        <v>58</v>
      </c>
      <c r="P22">
        <v>70</v>
      </c>
      <c r="Q22">
        <v>118</v>
      </c>
      <c r="R22">
        <v>54</v>
      </c>
      <c r="S22">
        <v>0</v>
      </c>
      <c r="T22">
        <v>0</v>
      </c>
      <c r="U22">
        <v>0</v>
      </c>
      <c r="V22">
        <v>3301</v>
      </c>
      <c r="W22">
        <v>2147</v>
      </c>
      <c r="X22">
        <v>2116</v>
      </c>
      <c r="Y22">
        <v>13818</v>
      </c>
      <c r="Z22">
        <v>4997</v>
      </c>
      <c r="AA22">
        <v>7595</v>
      </c>
      <c r="AB22">
        <v>7533</v>
      </c>
      <c r="AC22">
        <v>13713</v>
      </c>
      <c r="AD22">
        <v>10264</v>
      </c>
      <c r="AE22">
        <v>4396</v>
      </c>
      <c r="AF22">
        <v>6143</v>
      </c>
    </row>
    <row r="23" spans="1:32" x14ac:dyDescent="0.2">
      <c r="A23" t="s">
        <v>16</v>
      </c>
      <c r="B23" t="s">
        <v>15</v>
      </c>
      <c r="C23" t="s">
        <v>14</v>
      </c>
      <c r="D23" t="s">
        <v>13</v>
      </c>
      <c r="E23">
        <v>372702</v>
      </c>
      <c r="F23">
        <v>5</v>
      </c>
      <c r="G23">
        <v>3009192</v>
      </c>
      <c r="H23">
        <v>862340</v>
      </c>
      <c r="I23">
        <v>4745162</v>
      </c>
      <c r="J23">
        <v>72388</v>
      </c>
      <c r="K23">
        <v>11962</v>
      </c>
      <c r="L23">
        <v>12350</v>
      </c>
      <c r="M23">
        <v>0</v>
      </c>
      <c r="N23">
        <v>3788</v>
      </c>
      <c r="O23">
        <v>1759</v>
      </c>
      <c r="P23">
        <v>1780</v>
      </c>
      <c r="Q23">
        <v>1962</v>
      </c>
      <c r="R23">
        <v>1127</v>
      </c>
      <c r="S23">
        <v>0</v>
      </c>
      <c r="T23">
        <v>1934</v>
      </c>
      <c r="U23">
        <v>2146852</v>
      </c>
      <c r="V23">
        <v>43806</v>
      </c>
      <c r="W23">
        <v>23169</v>
      </c>
      <c r="X23">
        <v>28552</v>
      </c>
      <c r="Y23">
        <v>271406</v>
      </c>
      <c r="Z23">
        <v>64609</v>
      </c>
      <c r="AA23">
        <v>90144</v>
      </c>
      <c r="AB23">
        <v>100910</v>
      </c>
      <c r="AC23">
        <v>149250</v>
      </c>
      <c r="AD23">
        <v>123776</v>
      </c>
      <c r="AE23">
        <v>59456</v>
      </c>
      <c r="AF23">
        <v>85960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3E90-9293-904D-AF4F-A489F151B370}">
  <dimension ref="A1:Y26"/>
  <sheetViews>
    <sheetView zoomScale="129" zoomScaleNormal="129" workbookViewId="0">
      <selection activeCell="G24" sqref="G24"/>
    </sheetView>
  </sheetViews>
  <sheetFormatPr baseColWidth="10" defaultRowHeight="16" x14ac:dyDescent="0.2"/>
  <sheetData>
    <row r="1" spans="1:25" x14ac:dyDescent="0.2">
      <c r="A1" s="1"/>
      <c r="B1" s="45" t="s">
        <v>0</v>
      </c>
      <c r="C1" s="45"/>
      <c r="D1" s="45"/>
      <c r="E1" s="45"/>
      <c r="F1" s="45"/>
      <c r="G1" s="45"/>
      <c r="H1" s="46" t="s">
        <v>1</v>
      </c>
      <c r="I1" s="46"/>
      <c r="J1" s="46"/>
      <c r="K1" s="46"/>
      <c r="L1" s="46"/>
      <c r="M1" s="46"/>
      <c r="N1" s="47" t="s">
        <v>2</v>
      </c>
      <c r="O1" s="47"/>
      <c r="P1" s="47"/>
      <c r="Q1" s="47"/>
      <c r="R1" s="47"/>
      <c r="S1" s="47"/>
      <c r="T1" s="48" t="s">
        <v>3</v>
      </c>
      <c r="U1" s="48"/>
      <c r="V1" s="48"/>
      <c r="W1" s="48"/>
      <c r="X1" s="48"/>
      <c r="Y1" s="48"/>
    </row>
    <row r="2" spans="1:25" x14ac:dyDescent="0.2">
      <c r="A2" s="5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15" t="s">
        <v>5</v>
      </c>
      <c r="O2" s="15" t="s">
        <v>6</v>
      </c>
      <c r="P2" s="15" t="s">
        <v>7</v>
      </c>
      <c r="Q2" s="15" t="s">
        <v>8</v>
      </c>
      <c r="R2" s="15" t="s">
        <v>9</v>
      </c>
      <c r="S2" s="15" t="s">
        <v>10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</row>
    <row r="3" spans="1:25" x14ac:dyDescent="0.2">
      <c r="A3" s="6">
        <v>10105</v>
      </c>
      <c r="B3" s="7">
        <v>5724722</v>
      </c>
      <c r="C3" s="7">
        <v>974019</v>
      </c>
      <c r="D3" s="7">
        <v>4750703</v>
      </c>
      <c r="E3" s="7">
        <v>1022</v>
      </c>
      <c r="F3" s="7">
        <v>1022</v>
      </c>
      <c r="G3" s="8">
        <f t="shared" ref="G3:G19" si="0">F3/C3</f>
        <v>1.0492608460409909E-3</v>
      </c>
      <c r="H3" s="9">
        <v>137528</v>
      </c>
      <c r="I3" s="9">
        <v>23335</v>
      </c>
      <c r="J3" s="9">
        <v>114193</v>
      </c>
      <c r="K3" s="9">
        <v>12</v>
      </c>
      <c r="L3" s="9">
        <v>12</v>
      </c>
      <c r="M3" s="10">
        <f t="shared" ref="M3:M19" si="1">L3/I3</f>
        <v>5.1424898221555599E-4</v>
      </c>
      <c r="N3" s="14">
        <v>5947229</v>
      </c>
      <c r="O3" s="14">
        <v>1286350</v>
      </c>
      <c r="P3" s="14">
        <v>4660879</v>
      </c>
      <c r="Q3" s="14">
        <v>790</v>
      </c>
      <c r="R3" s="14">
        <v>790</v>
      </c>
      <c r="S3" s="16">
        <f t="shared" ref="S3:S19" si="2">R3/O3</f>
        <v>6.1414078594472738E-4</v>
      </c>
      <c r="T3" s="11">
        <v>144684</v>
      </c>
      <c r="U3" s="11">
        <v>30638</v>
      </c>
      <c r="V3" s="11">
        <v>114046</v>
      </c>
      <c r="W3" s="11">
        <v>38</v>
      </c>
      <c r="X3" s="11">
        <v>38</v>
      </c>
      <c r="Y3" s="12">
        <f>X3/U3</f>
        <v>1.2402898361511849E-3</v>
      </c>
    </row>
    <row r="4" spans="1:25" x14ac:dyDescent="0.2">
      <c r="A4" s="6">
        <v>11123</v>
      </c>
      <c r="B4" s="7">
        <v>6009051</v>
      </c>
      <c r="C4" s="7">
        <v>2093464</v>
      </c>
      <c r="D4" s="7">
        <v>3915587</v>
      </c>
      <c r="E4" s="7">
        <v>17547</v>
      </c>
      <c r="F4" s="7">
        <v>17547</v>
      </c>
      <c r="G4" s="8">
        <f t="shared" si="0"/>
        <v>8.3818016455023819E-3</v>
      </c>
      <c r="H4" s="9">
        <v>144645</v>
      </c>
      <c r="I4" s="9">
        <v>56310</v>
      </c>
      <c r="J4" s="9">
        <v>88335</v>
      </c>
      <c r="K4" s="9">
        <v>270</v>
      </c>
      <c r="L4" s="9">
        <v>270</v>
      </c>
      <c r="M4" s="10">
        <f t="shared" si="1"/>
        <v>4.7948854555141182E-3</v>
      </c>
      <c r="N4" s="14">
        <v>6182123</v>
      </c>
      <c r="O4" s="14">
        <v>2368985</v>
      </c>
      <c r="P4" s="14">
        <v>3813138</v>
      </c>
      <c r="Q4" s="14">
        <v>17597</v>
      </c>
      <c r="R4" s="14">
        <v>17597</v>
      </c>
      <c r="S4" s="16">
        <f t="shared" si="2"/>
        <v>7.4280757370772717E-3</v>
      </c>
      <c r="T4" s="11">
        <v>150203</v>
      </c>
      <c r="U4" s="11">
        <v>62050</v>
      </c>
      <c r="V4" s="11">
        <v>88153</v>
      </c>
      <c r="W4" s="11">
        <v>272</v>
      </c>
      <c r="X4" s="11">
        <v>272</v>
      </c>
      <c r="Y4" s="12">
        <f t="shared" ref="Y4:Y19" si="3">X4/U4</f>
        <v>4.3835616438356161E-3</v>
      </c>
    </row>
    <row r="5" spans="1:25" x14ac:dyDescent="0.2">
      <c r="A5" s="6">
        <v>11308</v>
      </c>
      <c r="B5" s="7">
        <v>5788765</v>
      </c>
      <c r="C5" s="7">
        <v>1702911</v>
      </c>
      <c r="D5" s="7">
        <v>4085854</v>
      </c>
      <c r="E5" s="7">
        <v>20182</v>
      </c>
      <c r="F5" s="7">
        <v>20182</v>
      </c>
      <c r="G5" s="8">
        <f t="shared" si="0"/>
        <v>1.1851470804992157E-2</v>
      </c>
      <c r="H5" s="9">
        <v>138256</v>
      </c>
      <c r="I5" s="9">
        <v>48231</v>
      </c>
      <c r="J5" s="9">
        <v>90025</v>
      </c>
      <c r="K5" s="9">
        <v>278</v>
      </c>
      <c r="L5" s="9">
        <v>278</v>
      </c>
      <c r="M5" s="10">
        <f t="shared" si="1"/>
        <v>5.7639277643009683E-3</v>
      </c>
      <c r="N5" s="14">
        <v>5998372</v>
      </c>
      <c r="O5" s="14">
        <v>1986244</v>
      </c>
      <c r="P5" s="14">
        <v>4012128</v>
      </c>
      <c r="Q5" s="14">
        <v>20375</v>
      </c>
      <c r="R5" s="14">
        <v>20375</v>
      </c>
      <c r="S5" s="16">
        <f t="shared" si="2"/>
        <v>1.0258054901613297E-2</v>
      </c>
      <c r="T5" s="11">
        <v>145550</v>
      </c>
      <c r="U5" s="11">
        <v>55071</v>
      </c>
      <c r="V5" s="11">
        <v>90479</v>
      </c>
      <c r="W5" s="11">
        <v>280</v>
      </c>
      <c r="X5" s="11">
        <v>280</v>
      </c>
      <c r="Y5" s="12">
        <f t="shared" si="3"/>
        <v>5.0843456628715655E-3</v>
      </c>
    </row>
    <row r="6" spans="1:25" x14ac:dyDescent="0.2">
      <c r="A6" s="6">
        <v>15043</v>
      </c>
      <c r="B6" s="7">
        <v>6461570</v>
      </c>
      <c r="C6" s="7">
        <v>6700857</v>
      </c>
      <c r="D6" s="7">
        <v>12281015</v>
      </c>
      <c r="E6" s="7">
        <v>436609</v>
      </c>
      <c r="F6" s="7">
        <v>438591</v>
      </c>
      <c r="G6" s="8">
        <f t="shared" si="0"/>
        <v>6.5452971164733115E-2</v>
      </c>
      <c r="H6" s="9">
        <v>152142</v>
      </c>
      <c r="I6" s="9">
        <v>174347</v>
      </c>
      <c r="J6" s="9">
        <v>277512</v>
      </c>
      <c r="K6" s="9">
        <v>10981</v>
      </c>
      <c r="L6" s="9">
        <v>11000</v>
      </c>
      <c r="M6" s="10">
        <f t="shared" si="1"/>
        <v>6.3092568269026705E-2</v>
      </c>
      <c r="N6" s="14">
        <v>6590129</v>
      </c>
      <c r="O6" s="14">
        <v>7578329</v>
      </c>
      <c r="P6" s="14">
        <v>11861696</v>
      </c>
      <c r="Q6" s="14">
        <v>437036</v>
      </c>
      <c r="R6" s="14">
        <v>439160</v>
      </c>
      <c r="S6" s="16">
        <f t="shared" si="2"/>
        <v>5.7949450333972037E-2</v>
      </c>
      <c r="T6" s="11">
        <v>159450</v>
      </c>
      <c r="U6" s="11">
        <v>195917</v>
      </c>
      <c r="V6" s="11">
        <v>277875</v>
      </c>
      <c r="W6" s="11">
        <v>11155</v>
      </c>
      <c r="X6" s="11">
        <v>11189</v>
      </c>
      <c r="Y6" s="12">
        <f t="shared" si="3"/>
        <v>5.7110919419958453E-2</v>
      </c>
    </row>
    <row r="7" spans="1:25" x14ac:dyDescent="0.2">
      <c r="A7" s="6">
        <v>16337</v>
      </c>
      <c r="B7" s="7">
        <v>5825634</v>
      </c>
      <c r="C7" s="7">
        <v>2033150</v>
      </c>
      <c r="D7" s="7">
        <v>3792484</v>
      </c>
      <c r="E7" s="7">
        <v>15664</v>
      </c>
      <c r="F7" s="7">
        <v>15664</v>
      </c>
      <c r="G7" s="8">
        <f t="shared" si="0"/>
        <v>7.704301207485921E-3</v>
      </c>
      <c r="H7" s="9">
        <v>138575</v>
      </c>
      <c r="I7" s="9">
        <v>54586</v>
      </c>
      <c r="J7" s="9">
        <v>83989</v>
      </c>
      <c r="K7" s="9">
        <v>207</v>
      </c>
      <c r="L7" s="9">
        <v>207</v>
      </c>
      <c r="M7" s="10">
        <f t="shared" si="1"/>
        <v>3.7921811453486241E-3</v>
      </c>
      <c r="N7" s="14">
        <v>6043612</v>
      </c>
      <c r="O7" s="14">
        <v>2337867</v>
      </c>
      <c r="P7" s="14">
        <v>3705745</v>
      </c>
      <c r="Q7" s="14">
        <v>15933</v>
      </c>
      <c r="R7" s="14">
        <v>15933</v>
      </c>
      <c r="S7" s="16">
        <f t="shared" si="2"/>
        <v>6.8151866637409225E-3</v>
      </c>
      <c r="T7" s="11">
        <v>146433</v>
      </c>
      <c r="U7" s="11">
        <v>61835</v>
      </c>
      <c r="V7" s="11">
        <v>84598</v>
      </c>
      <c r="W7" s="11">
        <v>219</v>
      </c>
      <c r="X7" s="11">
        <v>219</v>
      </c>
      <c r="Y7" s="12">
        <f t="shared" si="3"/>
        <v>3.541683512573785E-3</v>
      </c>
    </row>
    <row r="8" spans="1:25" x14ac:dyDescent="0.2">
      <c r="A8" s="6">
        <v>16566</v>
      </c>
      <c r="B8" s="7">
        <v>5940534</v>
      </c>
      <c r="C8" s="7">
        <v>1446659</v>
      </c>
      <c r="D8" s="7">
        <v>10246006</v>
      </c>
      <c r="E8" s="7">
        <v>266345</v>
      </c>
      <c r="F8" s="7">
        <v>266524</v>
      </c>
      <c r="G8" s="8">
        <f t="shared" si="0"/>
        <v>0.18423415607962898</v>
      </c>
      <c r="H8" s="9">
        <v>140733</v>
      </c>
      <c r="I8" s="9">
        <v>36476</v>
      </c>
      <c r="J8" s="9">
        <v>243087</v>
      </c>
      <c r="K8" s="9">
        <v>6411</v>
      </c>
      <c r="L8" s="9">
        <v>6412</v>
      </c>
      <c r="M8" s="10">
        <f t="shared" si="1"/>
        <v>0.17578681873012392</v>
      </c>
      <c r="N8" s="14">
        <v>6114711</v>
      </c>
      <c r="O8" s="14">
        <v>1988364</v>
      </c>
      <c r="P8" s="14">
        <v>10087280</v>
      </c>
      <c r="Q8" s="14">
        <v>270212</v>
      </c>
      <c r="R8" s="14">
        <v>270412</v>
      </c>
      <c r="S8" s="16">
        <f t="shared" si="2"/>
        <v>0.13599723189516608</v>
      </c>
      <c r="T8" s="11">
        <v>147627</v>
      </c>
      <c r="U8" s="11">
        <v>49661</v>
      </c>
      <c r="V8" s="11">
        <v>243478</v>
      </c>
      <c r="W8" s="11">
        <v>6657</v>
      </c>
      <c r="X8" s="11">
        <v>6666</v>
      </c>
      <c r="Y8" s="12">
        <f t="shared" si="3"/>
        <v>0.13423007994200681</v>
      </c>
    </row>
    <row r="9" spans="1:25" x14ac:dyDescent="0.2">
      <c r="A9" s="6">
        <v>17959</v>
      </c>
      <c r="B9" s="7">
        <v>5786689</v>
      </c>
      <c r="C9" s="7">
        <v>568209</v>
      </c>
      <c r="D9" s="7">
        <v>5218480</v>
      </c>
      <c r="E9" s="7">
        <v>352</v>
      </c>
      <c r="F9" s="7">
        <v>352</v>
      </c>
      <c r="G9" s="8">
        <f t="shared" si="0"/>
        <v>6.1949036358100633E-4</v>
      </c>
      <c r="H9" s="9">
        <v>139085</v>
      </c>
      <c r="I9" s="9">
        <v>14430</v>
      </c>
      <c r="J9" s="9">
        <v>124655</v>
      </c>
      <c r="K9" s="9">
        <v>0</v>
      </c>
      <c r="L9" s="9">
        <v>0</v>
      </c>
      <c r="M9" s="10">
        <f t="shared" si="1"/>
        <v>0</v>
      </c>
      <c r="N9" s="14">
        <v>5994779</v>
      </c>
      <c r="O9" s="14">
        <v>850902</v>
      </c>
      <c r="P9" s="14">
        <v>5143877</v>
      </c>
      <c r="Q9" s="14">
        <v>252</v>
      </c>
      <c r="R9" s="14">
        <v>252</v>
      </c>
      <c r="S9" s="16">
        <f t="shared" si="2"/>
        <v>2.961563141231305E-4</v>
      </c>
      <c r="T9" s="11">
        <v>145515</v>
      </c>
      <c r="U9" s="11">
        <v>20878</v>
      </c>
      <c r="V9" s="11">
        <v>124637</v>
      </c>
      <c r="W9" s="11">
        <v>3</v>
      </c>
      <c r="X9" s="11">
        <v>3</v>
      </c>
      <c r="Y9" s="12">
        <f t="shared" si="3"/>
        <v>1.4369192451384232E-4</v>
      </c>
    </row>
    <row r="10" spans="1:25" x14ac:dyDescent="0.2">
      <c r="A10" s="6">
        <v>19992</v>
      </c>
      <c r="B10" s="7">
        <v>5784415</v>
      </c>
      <c r="C10" s="7">
        <v>2097450</v>
      </c>
      <c r="D10" s="7">
        <v>3686965</v>
      </c>
      <c r="E10" s="7">
        <v>481</v>
      </c>
      <c r="F10" s="7">
        <v>481</v>
      </c>
      <c r="G10" s="8">
        <f t="shared" si="0"/>
        <v>2.2932608643829412E-4</v>
      </c>
      <c r="H10" s="9">
        <v>138806</v>
      </c>
      <c r="I10" s="9">
        <v>55433</v>
      </c>
      <c r="J10" s="9">
        <v>83373</v>
      </c>
      <c r="K10" s="9">
        <v>2</v>
      </c>
      <c r="L10" s="9">
        <v>2</v>
      </c>
      <c r="M10" s="10">
        <f t="shared" si="1"/>
        <v>3.6079591579023328E-5</v>
      </c>
      <c r="N10" s="14">
        <v>5990561</v>
      </c>
      <c r="O10" s="14">
        <v>2394402</v>
      </c>
      <c r="P10" s="14">
        <v>3596159</v>
      </c>
      <c r="Q10" s="14">
        <v>367</v>
      </c>
      <c r="R10" s="14">
        <v>367</v>
      </c>
      <c r="S10" s="16">
        <f t="shared" si="2"/>
        <v>1.5327417868845749E-4</v>
      </c>
      <c r="T10" s="11">
        <v>145311</v>
      </c>
      <c r="U10" s="11">
        <v>61900</v>
      </c>
      <c r="V10" s="11">
        <v>83411</v>
      </c>
      <c r="W10" s="11">
        <v>12</v>
      </c>
      <c r="X10" s="11">
        <v>12</v>
      </c>
      <c r="Y10" s="12">
        <f t="shared" si="3"/>
        <v>1.9386106623586429E-4</v>
      </c>
    </row>
    <row r="11" spans="1:25" x14ac:dyDescent="0.2">
      <c r="A11" s="6">
        <v>19997</v>
      </c>
      <c r="B11" s="7">
        <v>6029072</v>
      </c>
      <c r="C11" s="7">
        <v>2191441</v>
      </c>
      <c r="D11" s="7">
        <v>3837631</v>
      </c>
      <c r="E11" s="7">
        <v>22126</v>
      </c>
      <c r="F11" s="7">
        <v>22126</v>
      </c>
      <c r="G11" s="8">
        <f t="shared" si="0"/>
        <v>1.009655290742484E-2</v>
      </c>
      <c r="H11" s="9">
        <v>144416</v>
      </c>
      <c r="I11" s="9">
        <v>57573</v>
      </c>
      <c r="J11" s="9">
        <v>86843</v>
      </c>
      <c r="K11" s="9">
        <v>234</v>
      </c>
      <c r="L11" s="9">
        <v>234</v>
      </c>
      <c r="M11" s="10">
        <f t="shared" si="1"/>
        <v>4.0644051899327814E-3</v>
      </c>
      <c r="N11" s="14">
        <v>6186816</v>
      </c>
      <c r="O11" s="14">
        <v>2449555</v>
      </c>
      <c r="P11" s="14">
        <v>3737261</v>
      </c>
      <c r="Q11" s="14">
        <v>21610</v>
      </c>
      <c r="R11" s="14">
        <v>21610</v>
      </c>
      <c r="S11" s="16">
        <f t="shared" si="2"/>
        <v>8.8220105284429213E-3</v>
      </c>
      <c r="T11" s="11">
        <v>150329</v>
      </c>
      <c r="U11" s="11">
        <v>62895</v>
      </c>
      <c r="V11" s="11">
        <v>87434</v>
      </c>
      <c r="W11" s="11">
        <v>254</v>
      </c>
      <c r="X11" s="11">
        <v>254</v>
      </c>
      <c r="Y11" s="12">
        <f t="shared" si="3"/>
        <v>4.0384768264567928E-3</v>
      </c>
    </row>
    <row r="12" spans="1:25" x14ac:dyDescent="0.2">
      <c r="A12" s="6">
        <v>2357</v>
      </c>
      <c r="B12" s="7">
        <v>5809180</v>
      </c>
      <c r="C12" s="7">
        <v>2136711</v>
      </c>
      <c r="D12" s="7">
        <v>3672469</v>
      </c>
      <c r="E12" s="7">
        <v>11225</v>
      </c>
      <c r="F12" s="7">
        <v>11225</v>
      </c>
      <c r="G12" s="8">
        <f t="shared" si="0"/>
        <v>5.2534011384787176E-3</v>
      </c>
      <c r="H12" s="9">
        <v>138637</v>
      </c>
      <c r="I12" s="9">
        <v>55427</v>
      </c>
      <c r="J12" s="9">
        <v>83210</v>
      </c>
      <c r="K12" s="9">
        <v>133</v>
      </c>
      <c r="L12" s="9">
        <v>133</v>
      </c>
      <c r="M12" s="10">
        <f t="shared" si="1"/>
        <v>2.3995525646345645E-3</v>
      </c>
      <c r="N12" s="14">
        <v>5985515</v>
      </c>
      <c r="O12" s="14">
        <v>2419002</v>
      </c>
      <c r="P12" s="14">
        <v>3566513</v>
      </c>
      <c r="Q12" s="14">
        <v>11193</v>
      </c>
      <c r="R12" s="14">
        <v>11193</v>
      </c>
      <c r="S12" s="16">
        <f t="shared" si="2"/>
        <v>4.6271148184251192E-3</v>
      </c>
      <c r="T12" s="11">
        <v>145878</v>
      </c>
      <c r="U12" s="11">
        <v>61921</v>
      </c>
      <c r="V12" s="11">
        <v>83957</v>
      </c>
      <c r="W12" s="11">
        <v>131</v>
      </c>
      <c r="X12" s="11">
        <v>131</v>
      </c>
      <c r="Y12" s="12">
        <f t="shared" si="3"/>
        <v>2.1155989082863647E-3</v>
      </c>
    </row>
    <row r="13" spans="1:25" x14ac:dyDescent="0.2">
      <c r="A13" s="6">
        <v>6188</v>
      </c>
      <c r="B13" s="7">
        <v>5798535</v>
      </c>
      <c r="C13" s="7">
        <v>1917723</v>
      </c>
      <c r="D13" s="7">
        <v>3880812</v>
      </c>
      <c r="E13" s="7">
        <v>1388</v>
      </c>
      <c r="F13" s="7">
        <v>1388</v>
      </c>
      <c r="G13" s="8">
        <f t="shared" si="0"/>
        <v>7.2377501860279093E-4</v>
      </c>
      <c r="H13" s="9">
        <v>138386</v>
      </c>
      <c r="I13" s="9">
        <v>53184</v>
      </c>
      <c r="J13" s="9">
        <v>85202</v>
      </c>
      <c r="K13" s="9">
        <v>7</v>
      </c>
      <c r="L13" s="9">
        <v>7</v>
      </c>
      <c r="M13" s="10">
        <f t="shared" si="1"/>
        <v>1.3161853188929E-4</v>
      </c>
      <c r="N13" s="14">
        <v>5999994</v>
      </c>
      <c r="O13" s="14">
        <v>2213693</v>
      </c>
      <c r="P13" s="14">
        <v>3786301</v>
      </c>
      <c r="Q13" s="14">
        <v>913</v>
      </c>
      <c r="R13" s="14">
        <v>913</v>
      </c>
      <c r="S13" s="16">
        <f t="shared" si="2"/>
        <v>4.1243297964080837E-4</v>
      </c>
      <c r="T13" s="11">
        <v>146061</v>
      </c>
      <c r="U13" s="11">
        <v>60142</v>
      </c>
      <c r="V13" s="11">
        <v>85919</v>
      </c>
      <c r="W13" s="11">
        <v>10</v>
      </c>
      <c r="X13" s="11">
        <v>10</v>
      </c>
      <c r="Y13" s="12">
        <f t="shared" si="3"/>
        <v>1.6627315353662998E-4</v>
      </c>
    </row>
    <row r="14" spans="1:25" x14ac:dyDescent="0.2">
      <c r="A14" s="6">
        <v>6815</v>
      </c>
      <c r="B14" s="7">
        <v>5759928</v>
      </c>
      <c r="C14" s="7">
        <v>516875</v>
      </c>
      <c r="D14" s="7">
        <v>5243053</v>
      </c>
      <c r="E14" s="7">
        <v>224</v>
      </c>
      <c r="F14" s="7">
        <v>224</v>
      </c>
      <c r="G14" s="8">
        <f t="shared" si="0"/>
        <v>4.3337363966142683E-4</v>
      </c>
      <c r="H14" s="9">
        <v>138299</v>
      </c>
      <c r="I14" s="9">
        <v>13513</v>
      </c>
      <c r="J14" s="9">
        <v>124786</v>
      </c>
      <c r="K14" s="9">
        <v>0</v>
      </c>
      <c r="L14" s="9">
        <v>0</v>
      </c>
      <c r="M14" s="10">
        <f t="shared" si="1"/>
        <v>0</v>
      </c>
      <c r="N14" s="14">
        <v>5963780</v>
      </c>
      <c r="O14" s="14">
        <v>773810</v>
      </c>
      <c r="P14" s="14">
        <v>5189970</v>
      </c>
      <c r="Q14" s="14">
        <v>266</v>
      </c>
      <c r="R14" s="14">
        <v>266</v>
      </c>
      <c r="S14" s="16">
        <f t="shared" si="2"/>
        <v>3.4375363461314792E-4</v>
      </c>
      <c r="T14" s="11">
        <v>144770</v>
      </c>
      <c r="U14" s="11">
        <v>19456</v>
      </c>
      <c r="V14" s="11">
        <v>125314</v>
      </c>
      <c r="W14" s="11">
        <v>4</v>
      </c>
      <c r="X14" s="11">
        <v>4</v>
      </c>
      <c r="Y14" s="12">
        <f t="shared" si="3"/>
        <v>2.0559210526315788E-4</v>
      </c>
    </row>
    <row r="15" spans="1:25" x14ac:dyDescent="0.2">
      <c r="A15" s="6">
        <v>8037</v>
      </c>
      <c r="B15" s="7">
        <v>5841282</v>
      </c>
      <c r="C15" s="7">
        <v>847345</v>
      </c>
      <c r="D15" s="7">
        <v>10582005</v>
      </c>
      <c r="E15" s="7">
        <v>814</v>
      </c>
      <c r="F15" s="7">
        <v>817</v>
      </c>
      <c r="G15" s="8">
        <f t="shared" si="0"/>
        <v>9.6418814060388622E-4</v>
      </c>
      <c r="H15" s="9">
        <v>140098</v>
      </c>
      <c r="I15" s="9">
        <v>22373</v>
      </c>
      <c r="J15" s="9">
        <v>254330</v>
      </c>
      <c r="K15" s="9">
        <v>7</v>
      </c>
      <c r="L15" s="9">
        <v>7</v>
      </c>
      <c r="M15" s="10">
        <f t="shared" si="1"/>
        <v>3.1287712868189335E-4</v>
      </c>
      <c r="N15" s="14">
        <v>6048908</v>
      </c>
      <c r="O15" s="14">
        <v>1359262</v>
      </c>
      <c r="P15" s="14">
        <v>10513851</v>
      </c>
      <c r="Q15" s="14">
        <v>1345</v>
      </c>
      <c r="R15" s="14">
        <v>1352</v>
      </c>
      <c r="S15" s="16">
        <f t="shared" si="2"/>
        <v>9.9465739496874036E-4</v>
      </c>
      <c r="T15" s="11">
        <v>147202</v>
      </c>
      <c r="U15" s="11">
        <v>34729</v>
      </c>
      <c r="V15" s="11">
        <v>256186</v>
      </c>
      <c r="W15" s="11">
        <v>25</v>
      </c>
      <c r="X15" s="11">
        <v>26</v>
      </c>
      <c r="Y15" s="12">
        <f t="shared" si="3"/>
        <v>7.4865386276598805E-4</v>
      </c>
    </row>
    <row r="16" spans="1:25" x14ac:dyDescent="0.2">
      <c r="A16" s="6">
        <v>8600</v>
      </c>
      <c r="B16" s="7">
        <v>5900074</v>
      </c>
      <c r="C16" s="7">
        <v>493507</v>
      </c>
      <c r="D16" s="7">
        <v>5406567</v>
      </c>
      <c r="E16" s="7">
        <v>266</v>
      </c>
      <c r="F16" s="7">
        <v>266</v>
      </c>
      <c r="G16" s="8">
        <f t="shared" si="0"/>
        <v>5.3899944681635721E-4</v>
      </c>
      <c r="H16" s="9">
        <v>141888</v>
      </c>
      <c r="I16" s="9">
        <v>12495</v>
      </c>
      <c r="J16" s="9">
        <v>129393</v>
      </c>
      <c r="K16" s="9">
        <v>6</v>
      </c>
      <c r="L16" s="9">
        <v>6</v>
      </c>
      <c r="M16" s="10">
        <f t="shared" si="1"/>
        <v>4.8019207683073231E-4</v>
      </c>
      <c r="N16" s="14">
        <v>6052091</v>
      </c>
      <c r="O16" s="14">
        <v>709214</v>
      </c>
      <c r="P16" s="14">
        <v>5342877</v>
      </c>
      <c r="Q16" s="14">
        <v>296</v>
      </c>
      <c r="R16" s="14">
        <v>296</v>
      </c>
      <c r="S16" s="16">
        <f t="shared" si="2"/>
        <v>4.173634474220757E-4</v>
      </c>
      <c r="T16" s="11">
        <v>148335</v>
      </c>
      <c r="U16" s="11">
        <v>17729</v>
      </c>
      <c r="V16" s="11">
        <v>130606</v>
      </c>
      <c r="W16" s="11">
        <v>8</v>
      </c>
      <c r="X16" s="11">
        <v>8</v>
      </c>
      <c r="Y16" s="12">
        <f t="shared" si="3"/>
        <v>4.5123808449433131E-4</v>
      </c>
    </row>
    <row r="17" spans="1:25" x14ac:dyDescent="0.2">
      <c r="A17" s="6">
        <v>9009</v>
      </c>
      <c r="B17" s="7">
        <v>5815234</v>
      </c>
      <c r="C17" s="7">
        <v>2076141</v>
      </c>
      <c r="D17" s="7">
        <v>3739093</v>
      </c>
      <c r="E17" s="7">
        <v>419</v>
      </c>
      <c r="F17" s="7">
        <v>419</v>
      </c>
      <c r="G17" s="8">
        <f t="shared" si="0"/>
        <v>2.0181673595386825E-4</v>
      </c>
      <c r="H17" s="9">
        <v>138615</v>
      </c>
      <c r="I17" s="9">
        <v>54320</v>
      </c>
      <c r="J17" s="9">
        <v>84295</v>
      </c>
      <c r="K17" s="9">
        <v>6</v>
      </c>
      <c r="L17" s="9">
        <v>6</v>
      </c>
      <c r="M17" s="10">
        <f t="shared" si="1"/>
        <v>1.1045655375552283E-4</v>
      </c>
      <c r="N17" s="14">
        <v>6000257</v>
      </c>
      <c r="O17" s="14">
        <v>2378365</v>
      </c>
      <c r="P17" s="14">
        <v>3621892</v>
      </c>
      <c r="Q17" s="14">
        <v>312</v>
      </c>
      <c r="R17" s="14">
        <v>312</v>
      </c>
      <c r="S17" s="16">
        <f t="shared" si="2"/>
        <v>1.3118255608369616E-4</v>
      </c>
      <c r="T17" s="11">
        <v>145745</v>
      </c>
      <c r="U17" s="11">
        <v>61254</v>
      </c>
      <c r="V17" s="11">
        <v>84491</v>
      </c>
      <c r="W17" s="11">
        <v>10</v>
      </c>
      <c r="X17" s="11">
        <v>10</v>
      </c>
      <c r="Y17" s="12">
        <f t="shared" si="3"/>
        <v>1.6325464459463873E-4</v>
      </c>
    </row>
    <row r="18" spans="1:25" x14ac:dyDescent="0.2">
      <c r="A18" s="6">
        <v>9885</v>
      </c>
      <c r="B18" s="7">
        <v>5810624</v>
      </c>
      <c r="C18" s="7">
        <v>2255937</v>
      </c>
      <c r="D18" s="7">
        <v>3554687</v>
      </c>
      <c r="E18" s="7">
        <v>23999</v>
      </c>
      <c r="F18" s="7">
        <v>23999</v>
      </c>
      <c r="G18" s="8">
        <f t="shared" si="0"/>
        <v>1.06381516859735E-2</v>
      </c>
      <c r="H18" s="9">
        <v>139440</v>
      </c>
      <c r="I18" s="9">
        <v>61195</v>
      </c>
      <c r="J18" s="9">
        <v>78245</v>
      </c>
      <c r="K18" s="9">
        <v>300</v>
      </c>
      <c r="L18" s="9">
        <v>300</v>
      </c>
      <c r="M18" s="10">
        <f t="shared" si="1"/>
        <v>4.9023613040281066E-3</v>
      </c>
      <c r="N18" s="14">
        <v>6011200</v>
      </c>
      <c r="O18" s="14">
        <v>2555016</v>
      </c>
      <c r="P18" s="14">
        <v>3456184</v>
      </c>
      <c r="Q18" s="14">
        <v>24307</v>
      </c>
      <c r="R18" s="14">
        <v>24307</v>
      </c>
      <c r="S18" s="16">
        <f t="shared" si="2"/>
        <v>9.5134433600415815E-3</v>
      </c>
      <c r="T18" s="11">
        <v>145637</v>
      </c>
      <c r="U18" s="11">
        <v>67904</v>
      </c>
      <c r="V18" s="11">
        <v>77733</v>
      </c>
      <c r="W18" s="11">
        <v>313</v>
      </c>
      <c r="X18" s="11">
        <v>313</v>
      </c>
      <c r="Y18" s="12">
        <f t="shared" si="3"/>
        <v>4.6094486333647499E-3</v>
      </c>
    </row>
    <row r="19" spans="1:25" x14ac:dyDescent="0.2">
      <c r="A19" s="6" t="s">
        <v>11</v>
      </c>
      <c r="B19" s="7">
        <v>14518635</v>
      </c>
      <c r="C19" s="7">
        <v>103318001</v>
      </c>
      <c r="D19" s="7">
        <v>180447149</v>
      </c>
      <c r="E19" s="7">
        <v>752023</v>
      </c>
      <c r="F19" s="7">
        <v>812334</v>
      </c>
      <c r="G19" s="8">
        <f t="shared" si="0"/>
        <v>7.8624633862205678E-3</v>
      </c>
      <c r="H19" s="9">
        <v>372708</v>
      </c>
      <c r="I19" s="9">
        <v>2870932</v>
      </c>
      <c r="J19" s="9">
        <v>4514430</v>
      </c>
      <c r="K19" s="9">
        <v>17734</v>
      </c>
      <c r="L19" s="9">
        <v>18712</v>
      </c>
      <c r="M19" s="10">
        <f t="shared" si="1"/>
        <v>6.5177440636002525E-3</v>
      </c>
      <c r="N19" s="14">
        <v>13972705</v>
      </c>
      <c r="O19" s="14">
        <v>107156573</v>
      </c>
      <c r="P19" s="14">
        <v>166800738</v>
      </c>
      <c r="Q19" s="14">
        <v>755361</v>
      </c>
      <c r="R19" s="14">
        <v>817111</v>
      </c>
      <c r="S19" s="16">
        <f t="shared" si="2"/>
        <v>7.6253931711683237E-3</v>
      </c>
      <c r="T19" s="11">
        <v>375283</v>
      </c>
      <c r="U19" s="11">
        <v>2986609</v>
      </c>
      <c r="V19" s="11">
        <v>4445936</v>
      </c>
      <c r="W19" s="11">
        <v>18163</v>
      </c>
      <c r="X19" s="11">
        <v>19294</v>
      </c>
      <c r="Y19" s="12">
        <f t="shared" si="3"/>
        <v>6.4601693760381754E-3</v>
      </c>
    </row>
    <row r="20" spans="1:25" x14ac:dyDescent="0.2">
      <c r="A20" s="6" t="s">
        <v>12</v>
      </c>
      <c r="B20" s="7">
        <f>MEDIAN(B3:B19)</f>
        <v>5815234</v>
      </c>
      <c r="C20" s="7">
        <f t="shared" ref="C20:E20" si="4">MEDIAN(C3:C19)</f>
        <v>2033150</v>
      </c>
      <c r="D20" s="7">
        <f t="shared" si="4"/>
        <v>4085854</v>
      </c>
      <c r="E20" s="7">
        <f t="shared" si="4"/>
        <v>11225</v>
      </c>
      <c r="F20" s="7">
        <f>MEDIAN(F3:F19)</f>
        <v>11225</v>
      </c>
      <c r="G20" s="13">
        <f>MEDIAN(G3:G19)</f>
        <v>5.2534011384787176E-3</v>
      </c>
      <c r="H20" s="9">
        <f>MEDIAN(H3:H19)</f>
        <v>139085</v>
      </c>
      <c r="I20" s="9">
        <f t="shared" ref="I20:K20" si="5">MEDIAN(I3:I19)</f>
        <v>54320</v>
      </c>
      <c r="J20" s="9">
        <f t="shared" si="5"/>
        <v>90025</v>
      </c>
      <c r="K20" s="9">
        <f t="shared" si="5"/>
        <v>133</v>
      </c>
      <c r="L20" s="9">
        <f>MEDIAN(L3:L19)</f>
        <v>133</v>
      </c>
      <c r="M20" s="18">
        <f>MEDIAN(M3:M19)</f>
        <v>2.3995525646345645E-3</v>
      </c>
      <c r="N20" s="14">
        <f>MEDIAN(N3:N19)</f>
        <v>6011200</v>
      </c>
      <c r="O20" s="14">
        <f t="shared" ref="O20" si="6">MEDIAN(O3:O19)</f>
        <v>2337867</v>
      </c>
      <c r="P20" s="14">
        <f t="shared" ref="P20" si="7">MEDIAN(P3:P19)</f>
        <v>4012128</v>
      </c>
      <c r="Q20" s="14">
        <f t="shared" ref="Q20" si="8">MEDIAN(Q3:Q19)</f>
        <v>11193</v>
      </c>
      <c r="R20" s="14">
        <f>MEDIAN(R3:R19)</f>
        <v>11193</v>
      </c>
      <c r="S20" s="17">
        <f>MEDIAN(S3:S19)</f>
        <v>4.6271148184251192E-3</v>
      </c>
      <c r="T20" s="11">
        <f>MEDIAN(T3:T19)</f>
        <v>146061</v>
      </c>
      <c r="U20" s="11">
        <f t="shared" ref="U20:W20" si="9">MEDIAN(U3:U19)</f>
        <v>61254</v>
      </c>
      <c r="V20" s="11">
        <f t="shared" si="9"/>
        <v>90479</v>
      </c>
      <c r="W20" s="11">
        <f t="shared" si="9"/>
        <v>131</v>
      </c>
      <c r="X20" s="11">
        <f>MEDIAN(X3:X19)</f>
        <v>131</v>
      </c>
      <c r="Y20" s="19">
        <f>MEDIAN(Y3:Y19)</f>
        <v>2.1155989082863647E-3</v>
      </c>
    </row>
    <row r="24" spans="1:25" x14ac:dyDescent="0.2">
      <c r="B24" s="20"/>
      <c r="C24" s="20" t="s">
        <v>46</v>
      </c>
      <c r="D24" s="20" t="s">
        <v>47</v>
      </c>
      <c r="E24" s="20"/>
    </row>
    <row r="25" spans="1:25" x14ac:dyDescent="0.2">
      <c r="B25" s="20" t="s">
        <v>48</v>
      </c>
      <c r="C25" s="21">
        <v>5.2534011384787176E-3</v>
      </c>
      <c r="D25" s="21">
        <v>2.3995525646345645E-3</v>
      </c>
      <c r="E25" s="21"/>
    </row>
    <row r="26" spans="1:25" x14ac:dyDescent="0.2">
      <c r="B26" s="20" t="s">
        <v>49</v>
      </c>
      <c r="C26" s="21">
        <v>4.6271148184251192E-3</v>
      </c>
      <c r="D26" s="21">
        <v>2.1155989082863647E-3</v>
      </c>
      <c r="E26" s="21"/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F1AA-EEAA-984F-A8D7-FCD5AA5DDBB4}">
  <dimension ref="A1:AF22"/>
  <sheetViews>
    <sheetView workbookViewId="0">
      <selection activeCell="K4" activeCellId="3" sqref="E4:E22 G4:G22 I4:I22 K4:L22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44</v>
      </c>
    </row>
    <row r="3" spans="1:32" x14ac:dyDescent="0.2">
      <c r="A3" t="s">
        <v>43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5947229</v>
      </c>
      <c r="F5">
        <v>133406</v>
      </c>
      <c r="G5">
        <v>1286350</v>
      </c>
      <c r="H5">
        <v>1286350</v>
      </c>
      <c r="I5">
        <v>4660879</v>
      </c>
      <c r="J5">
        <v>0</v>
      </c>
      <c r="K5">
        <v>790</v>
      </c>
      <c r="L5">
        <v>790</v>
      </c>
      <c r="M5">
        <v>4</v>
      </c>
      <c r="N5">
        <v>8</v>
      </c>
      <c r="O5">
        <v>36</v>
      </c>
      <c r="P5">
        <v>268</v>
      </c>
      <c r="Q5">
        <v>442</v>
      </c>
      <c r="R5">
        <v>28</v>
      </c>
      <c r="S5">
        <v>4</v>
      </c>
      <c r="T5">
        <v>0</v>
      </c>
      <c r="U5">
        <v>0</v>
      </c>
      <c r="V5">
        <v>21321</v>
      </c>
      <c r="W5">
        <v>16194</v>
      </c>
      <c r="X5">
        <v>16837</v>
      </c>
      <c r="Y5">
        <v>860864</v>
      </c>
      <c r="Z5">
        <v>53687</v>
      </c>
      <c r="AA5">
        <v>53709</v>
      </c>
      <c r="AB5">
        <v>54995</v>
      </c>
      <c r="AC5">
        <v>145947</v>
      </c>
      <c r="AD5">
        <v>71484</v>
      </c>
      <c r="AE5">
        <v>32741</v>
      </c>
      <c r="AF5">
        <v>66485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6182123</v>
      </c>
      <c r="F6">
        <v>126815</v>
      </c>
      <c r="G6">
        <v>2368985</v>
      </c>
      <c r="H6">
        <v>2368985</v>
      </c>
      <c r="I6">
        <v>3813138</v>
      </c>
      <c r="J6">
        <v>0</v>
      </c>
      <c r="K6">
        <v>17597</v>
      </c>
      <c r="L6">
        <v>17597</v>
      </c>
      <c r="M6">
        <v>3</v>
      </c>
      <c r="N6">
        <v>23</v>
      </c>
      <c r="O6">
        <v>5408</v>
      </c>
      <c r="P6">
        <v>4220</v>
      </c>
      <c r="Q6">
        <v>5251</v>
      </c>
      <c r="R6">
        <v>2688</v>
      </c>
      <c r="S6">
        <v>4</v>
      </c>
      <c r="T6">
        <v>0</v>
      </c>
      <c r="U6">
        <v>0</v>
      </c>
      <c r="V6">
        <v>108367</v>
      </c>
      <c r="W6">
        <v>69139</v>
      </c>
      <c r="X6">
        <v>80799</v>
      </c>
      <c r="Y6">
        <v>785714</v>
      </c>
      <c r="Z6">
        <v>158672</v>
      </c>
      <c r="AA6">
        <v>246645</v>
      </c>
      <c r="AB6">
        <v>269965</v>
      </c>
      <c r="AC6">
        <v>440081</v>
      </c>
      <c r="AD6">
        <v>305247</v>
      </c>
      <c r="AE6">
        <v>150137</v>
      </c>
      <c r="AF6">
        <v>253223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5998372</v>
      </c>
      <c r="F7">
        <v>120869</v>
      </c>
      <c r="G7">
        <v>1986244</v>
      </c>
      <c r="H7">
        <v>1986244</v>
      </c>
      <c r="I7">
        <v>4012128</v>
      </c>
      <c r="J7">
        <v>0</v>
      </c>
      <c r="K7">
        <v>20375</v>
      </c>
      <c r="L7">
        <v>20375</v>
      </c>
      <c r="M7">
        <v>6</v>
      </c>
      <c r="N7">
        <v>64</v>
      </c>
      <c r="O7">
        <v>3239</v>
      </c>
      <c r="P7">
        <v>5472</v>
      </c>
      <c r="Q7">
        <v>10065</v>
      </c>
      <c r="R7">
        <v>1525</v>
      </c>
      <c r="S7">
        <v>3</v>
      </c>
      <c r="T7">
        <v>0</v>
      </c>
      <c r="U7">
        <v>0</v>
      </c>
      <c r="V7">
        <v>54611</v>
      </c>
      <c r="W7">
        <v>31765</v>
      </c>
      <c r="X7">
        <v>37215</v>
      </c>
      <c r="Y7">
        <v>791135</v>
      </c>
      <c r="Z7">
        <v>210763</v>
      </c>
      <c r="AA7">
        <v>118141</v>
      </c>
      <c r="AB7">
        <v>129041</v>
      </c>
      <c r="AC7">
        <v>329267</v>
      </c>
      <c r="AD7">
        <v>255329</v>
      </c>
      <c r="AE7">
        <v>100918</v>
      </c>
      <c r="AF7">
        <v>154864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6590129</v>
      </c>
      <c r="F8">
        <v>52909</v>
      </c>
      <c r="G8">
        <v>7578329</v>
      </c>
      <c r="H8">
        <v>7224921</v>
      </c>
      <c r="I8">
        <v>11861696</v>
      </c>
      <c r="J8">
        <v>330362</v>
      </c>
      <c r="K8">
        <v>437036</v>
      </c>
      <c r="L8">
        <v>439160</v>
      </c>
      <c r="M8">
        <v>59</v>
      </c>
      <c r="N8">
        <v>138267</v>
      </c>
      <c r="O8">
        <v>56569</v>
      </c>
      <c r="P8">
        <v>61708</v>
      </c>
      <c r="Q8">
        <v>63182</v>
      </c>
      <c r="R8">
        <v>41795</v>
      </c>
      <c r="S8">
        <v>46</v>
      </c>
      <c r="T8">
        <v>77533</v>
      </c>
      <c r="U8">
        <v>353408</v>
      </c>
      <c r="V8">
        <v>382963</v>
      </c>
      <c r="W8">
        <v>197413</v>
      </c>
      <c r="X8">
        <v>229588</v>
      </c>
      <c r="Y8">
        <v>2280511</v>
      </c>
      <c r="Z8">
        <v>432343</v>
      </c>
      <c r="AA8">
        <v>777789</v>
      </c>
      <c r="AB8">
        <v>842139</v>
      </c>
      <c r="AC8">
        <v>1123438</v>
      </c>
      <c r="AD8">
        <v>884910</v>
      </c>
      <c r="AE8">
        <v>526079</v>
      </c>
      <c r="AF8">
        <v>728500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6043612</v>
      </c>
      <c r="F9">
        <v>118303</v>
      </c>
      <c r="G9">
        <v>2337867</v>
      </c>
      <c r="H9">
        <v>2337867</v>
      </c>
      <c r="I9">
        <v>3705745</v>
      </c>
      <c r="J9">
        <v>0</v>
      </c>
      <c r="K9">
        <v>15933</v>
      </c>
      <c r="L9">
        <v>15933</v>
      </c>
      <c r="M9">
        <v>4</v>
      </c>
      <c r="N9">
        <v>26</v>
      </c>
      <c r="O9">
        <v>4032</v>
      </c>
      <c r="P9">
        <v>3921</v>
      </c>
      <c r="Q9">
        <v>5157</v>
      </c>
      <c r="R9">
        <v>2793</v>
      </c>
      <c r="S9">
        <v>0</v>
      </c>
      <c r="T9">
        <v>0</v>
      </c>
      <c r="U9">
        <v>0</v>
      </c>
      <c r="V9">
        <v>102248</v>
      </c>
      <c r="W9">
        <v>50954</v>
      </c>
      <c r="X9">
        <v>70985</v>
      </c>
      <c r="Y9">
        <v>814601</v>
      </c>
      <c r="Z9">
        <v>182526</v>
      </c>
      <c r="AA9">
        <v>204156</v>
      </c>
      <c r="AB9">
        <v>244218</v>
      </c>
      <c r="AC9">
        <v>381392</v>
      </c>
      <c r="AD9">
        <v>327023</v>
      </c>
      <c r="AE9">
        <v>158437</v>
      </c>
      <c r="AF9">
        <v>233763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6114711</v>
      </c>
      <c r="F10">
        <v>61493</v>
      </c>
      <c r="G10">
        <v>1988364</v>
      </c>
      <c r="H10">
        <v>1986939</v>
      </c>
      <c r="I10">
        <v>10087280</v>
      </c>
      <c r="J10">
        <v>153778</v>
      </c>
      <c r="K10">
        <v>270212</v>
      </c>
      <c r="L10">
        <v>270412</v>
      </c>
      <c r="M10">
        <v>7</v>
      </c>
      <c r="N10">
        <v>10</v>
      </c>
      <c r="O10">
        <v>1</v>
      </c>
      <c r="P10">
        <v>155863</v>
      </c>
      <c r="Q10">
        <v>114526</v>
      </c>
      <c r="R10">
        <v>1</v>
      </c>
      <c r="S10">
        <v>4</v>
      </c>
      <c r="T10">
        <v>0</v>
      </c>
      <c r="U10">
        <v>1425</v>
      </c>
      <c r="V10">
        <v>10500</v>
      </c>
      <c r="W10">
        <v>1668</v>
      </c>
      <c r="X10">
        <v>1665</v>
      </c>
      <c r="Y10">
        <v>1551281</v>
      </c>
      <c r="Z10">
        <v>11919</v>
      </c>
      <c r="AA10">
        <v>13836</v>
      </c>
      <c r="AB10">
        <v>13830</v>
      </c>
      <c r="AC10">
        <v>51968</v>
      </c>
      <c r="AD10">
        <v>43057</v>
      </c>
      <c r="AE10">
        <v>18283</v>
      </c>
      <c r="AF10">
        <v>26180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5994779</v>
      </c>
      <c r="F11">
        <v>107909</v>
      </c>
      <c r="G11">
        <v>850902</v>
      </c>
      <c r="H11">
        <v>850902</v>
      </c>
      <c r="I11">
        <v>5143877</v>
      </c>
      <c r="J11">
        <v>0</v>
      </c>
      <c r="K11">
        <v>252</v>
      </c>
      <c r="L11">
        <v>252</v>
      </c>
      <c r="M11">
        <v>0</v>
      </c>
      <c r="N11">
        <v>3</v>
      </c>
      <c r="O11">
        <v>1</v>
      </c>
      <c r="P11">
        <v>138</v>
      </c>
      <c r="Q11">
        <v>108</v>
      </c>
      <c r="R11">
        <v>1</v>
      </c>
      <c r="S11">
        <v>1</v>
      </c>
      <c r="T11">
        <v>0</v>
      </c>
      <c r="U11">
        <v>0</v>
      </c>
      <c r="V11">
        <v>2667</v>
      </c>
      <c r="W11">
        <v>1785</v>
      </c>
      <c r="X11">
        <v>1679</v>
      </c>
      <c r="Y11">
        <v>785674</v>
      </c>
      <c r="Z11">
        <v>9764</v>
      </c>
      <c r="AA11">
        <v>6237</v>
      </c>
      <c r="AB11">
        <v>6025</v>
      </c>
      <c r="AC11">
        <v>23338</v>
      </c>
      <c r="AD11">
        <v>11157</v>
      </c>
      <c r="AE11">
        <v>4442</v>
      </c>
      <c r="AF11">
        <v>10144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5990561</v>
      </c>
      <c r="F12">
        <v>129756</v>
      </c>
      <c r="G12">
        <v>2394402</v>
      </c>
      <c r="H12">
        <v>2394402</v>
      </c>
      <c r="I12">
        <v>3596159</v>
      </c>
      <c r="J12">
        <v>0</v>
      </c>
      <c r="K12">
        <v>367</v>
      </c>
      <c r="L12">
        <v>367</v>
      </c>
      <c r="M12">
        <v>4</v>
      </c>
      <c r="N12">
        <v>48</v>
      </c>
      <c r="O12">
        <v>54</v>
      </c>
      <c r="P12">
        <v>106</v>
      </c>
      <c r="Q12">
        <v>117</v>
      </c>
      <c r="R12">
        <v>33</v>
      </c>
      <c r="S12">
        <v>5</v>
      </c>
      <c r="T12">
        <v>0</v>
      </c>
      <c r="U12">
        <v>0</v>
      </c>
      <c r="V12">
        <v>130880</v>
      </c>
      <c r="W12">
        <v>59802</v>
      </c>
      <c r="X12">
        <v>83793</v>
      </c>
      <c r="Y12">
        <v>806670</v>
      </c>
      <c r="Z12">
        <v>187894</v>
      </c>
      <c r="AA12">
        <v>250484</v>
      </c>
      <c r="AB12">
        <v>298466</v>
      </c>
      <c r="AC12">
        <v>346878</v>
      </c>
      <c r="AD12">
        <v>339679</v>
      </c>
      <c r="AE12">
        <v>181604</v>
      </c>
      <c r="AF12">
        <v>256830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6186816</v>
      </c>
      <c r="F13">
        <v>135938</v>
      </c>
      <c r="G13">
        <v>2449555</v>
      </c>
      <c r="H13">
        <v>2449555</v>
      </c>
      <c r="I13">
        <v>3737261</v>
      </c>
      <c r="J13">
        <v>0</v>
      </c>
      <c r="K13">
        <v>21610</v>
      </c>
      <c r="L13">
        <v>21610</v>
      </c>
      <c r="M13">
        <v>2</v>
      </c>
      <c r="N13">
        <v>45</v>
      </c>
      <c r="O13">
        <v>4670</v>
      </c>
      <c r="P13">
        <v>7104</v>
      </c>
      <c r="Q13">
        <v>7501</v>
      </c>
      <c r="R13">
        <v>2282</v>
      </c>
      <c r="S13">
        <v>6</v>
      </c>
      <c r="T13">
        <v>0</v>
      </c>
      <c r="U13">
        <v>0</v>
      </c>
      <c r="V13">
        <v>102317</v>
      </c>
      <c r="W13">
        <v>55722</v>
      </c>
      <c r="X13">
        <v>66535</v>
      </c>
      <c r="Y13">
        <v>779738</v>
      </c>
      <c r="Z13">
        <v>242413</v>
      </c>
      <c r="AA13">
        <v>213761</v>
      </c>
      <c r="AB13">
        <v>235387</v>
      </c>
      <c r="AC13">
        <v>427649</v>
      </c>
      <c r="AD13">
        <v>335584</v>
      </c>
      <c r="AE13">
        <v>165428</v>
      </c>
      <c r="AF13">
        <v>252553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4638716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5985515</v>
      </c>
      <c r="F15">
        <v>128172</v>
      </c>
      <c r="G15">
        <v>2419002</v>
      </c>
      <c r="H15">
        <v>2419002</v>
      </c>
      <c r="I15">
        <v>3566513</v>
      </c>
      <c r="J15">
        <v>0</v>
      </c>
      <c r="K15">
        <v>11193</v>
      </c>
      <c r="L15">
        <v>11193</v>
      </c>
      <c r="M15">
        <v>3</v>
      </c>
      <c r="N15">
        <v>20</v>
      </c>
      <c r="O15">
        <v>2691</v>
      </c>
      <c r="P15">
        <v>3030</v>
      </c>
      <c r="Q15">
        <v>3515</v>
      </c>
      <c r="R15">
        <v>1932</v>
      </c>
      <c r="S15">
        <v>1</v>
      </c>
      <c r="T15">
        <v>1</v>
      </c>
      <c r="U15">
        <v>0</v>
      </c>
      <c r="V15">
        <v>138034</v>
      </c>
      <c r="W15">
        <v>65481</v>
      </c>
      <c r="X15">
        <v>85636</v>
      </c>
      <c r="Y15">
        <v>801420</v>
      </c>
      <c r="Z15">
        <v>179060</v>
      </c>
      <c r="AA15">
        <v>268996</v>
      </c>
      <c r="AB15">
        <v>309306</v>
      </c>
      <c r="AC15">
        <v>349684</v>
      </c>
      <c r="AD15">
        <v>337275</v>
      </c>
      <c r="AE15">
        <v>190387</v>
      </c>
      <c r="AF15">
        <v>260824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5999994</v>
      </c>
      <c r="F16">
        <v>123361</v>
      </c>
      <c r="G16">
        <v>2213693</v>
      </c>
      <c r="H16">
        <v>2213693</v>
      </c>
      <c r="I16">
        <v>3786301</v>
      </c>
      <c r="J16">
        <v>0</v>
      </c>
      <c r="K16">
        <v>913</v>
      </c>
      <c r="L16">
        <v>913</v>
      </c>
      <c r="M16">
        <v>1</v>
      </c>
      <c r="N16">
        <v>33</v>
      </c>
      <c r="O16">
        <v>206</v>
      </c>
      <c r="P16">
        <v>207</v>
      </c>
      <c r="Q16">
        <v>342</v>
      </c>
      <c r="R16">
        <v>119</v>
      </c>
      <c r="S16">
        <v>5</v>
      </c>
      <c r="T16">
        <v>0</v>
      </c>
      <c r="U16">
        <v>0</v>
      </c>
      <c r="V16">
        <v>76004</v>
      </c>
      <c r="W16">
        <v>72586</v>
      </c>
      <c r="X16">
        <v>68961</v>
      </c>
      <c r="Y16">
        <v>807642</v>
      </c>
      <c r="Z16">
        <v>125860</v>
      </c>
      <c r="AA16">
        <v>221176</v>
      </c>
      <c r="AB16">
        <v>213926</v>
      </c>
      <c r="AC16">
        <v>495432</v>
      </c>
      <c r="AD16">
        <v>227415</v>
      </c>
      <c r="AE16">
        <v>111731</v>
      </c>
      <c r="AF16">
        <v>227149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5963780</v>
      </c>
      <c r="F17">
        <v>129385</v>
      </c>
      <c r="G17">
        <v>773810</v>
      </c>
      <c r="H17">
        <v>773810</v>
      </c>
      <c r="I17">
        <v>5189970</v>
      </c>
      <c r="J17">
        <v>0</v>
      </c>
      <c r="K17">
        <v>266</v>
      </c>
      <c r="L17">
        <v>266</v>
      </c>
      <c r="M17">
        <v>7</v>
      </c>
      <c r="N17">
        <v>8</v>
      </c>
      <c r="O17">
        <v>3</v>
      </c>
      <c r="P17">
        <v>109</v>
      </c>
      <c r="Q17">
        <v>133</v>
      </c>
      <c r="R17">
        <v>4</v>
      </c>
      <c r="S17">
        <v>2</v>
      </c>
      <c r="T17">
        <v>0</v>
      </c>
      <c r="U17">
        <v>0</v>
      </c>
      <c r="V17">
        <v>1679</v>
      </c>
      <c r="W17">
        <v>1082</v>
      </c>
      <c r="X17">
        <v>1075</v>
      </c>
      <c r="Y17">
        <v>723092</v>
      </c>
      <c r="Z17">
        <v>8709</v>
      </c>
      <c r="AA17">
        <v>3843</v>
      </c>
      <c r="AB17">
        <v>3829</v>
      </c>
      <c r="AC17">
        <v>18814</v>
      </c>
      <c r="AD17">
        <v>7518</v>
      </c>
      <c r="AE17">
        <v>3144</v>
      </c>
      <c r="AF17">
        <v>8431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6048908</v>
      </c>
      <c r="F18">
        <v>90492</v>
      </c>
      <c r="G18">
        <v>1359262</v>
      </c>
      <c r="H18">
        <v>1358774</v>
      </c>
      <c r="I18">
        <v>10513851</v>
      </c>
      <c r="J18">
        <v>224703</v>
      </c>
      <c r="K18">
        <v>1345</v>
      </c>
      <c r="L18">
        <v>1352</v>
      </c>
      <c r="M18">
        <v>0</v>
      </c>
      <c r="N18">
        <v>1</v>
      </c>
      <c r="O18">
        <v>10</v>
      </c>
      <c r="P18">
        <v>691</v>
      </c>
      <c r="Q18">
        <v>645</v>
      </c>
      <c r="R18">
        <v>4</v>
      </c>
      <c r="S18">
        <v>1</v>
      </c>
      <c r="T18">
        <v>0</v>
      </c>
      <c r="U18">
        <v>488</v>
      </c>
      <c r="V18">
        <v>3142</v>
      </c>
      <c r="W18">
        <v>1697</v>
      </c>
      <c r="X18">
        <v>2235</v>
      </c>
      <c r="Y18">
        <v>1298226</v>
      </c>
      <c r="Z18">
        <v>7968</v>
      </c>
      <c r="AA18">
        <v>6536</v>
      </c>
      <c r="AB18">
        <v>7612</v>
      </c>
      <c r="AC18">
        <v>17114</v>
      </c>
      <c r="AD18">
        <v>8692</v>
      </c>
      <c r="AE18">
        <v>5515</v>
      </c>
      <c r="AF18">
        <v>12832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6052091</v>
      </c>
      <c r="F19">
        <v>150236</v>
      </c>
      <c r="G19">
        <v>709214</v>
      </c>
      <c r="H19">
        <v>709214</v>
      </c>
      <c r="I19">
        <v>5342877</v>
      </c>
      <c r="J19">
        <v>0</v>
      </c>
      <c r="K19">
        <v>296</v>
      </c>
      <c r="L19">
        <v>296</v>
      </c>
      <c r="M19">
        <v>5</v>
      </c>
      <c r="N19">
        <v>3</v>
      </c>
      <c r="O19">
        <v>9</v>
      </c>
      <c r="P19">
        <v>136</v>
      </c>
      <c r="Q19">
        <v>116</v>
      </c>
      <c r="R19">
        <v>2</v>
      </c>
      <c r="S19">
        <v>25</v>
      </c>
      <c r="T19">
        <v>0</v>
      </c>
      <c r="U19">
        <v>0</v>
      </c>
      <c r="V19">
        <v>1014</v>
      </c>
      <c r="W19">
        <v>1774</v>
      </c>
      <c r="X19">
        <v>892</v>
      </c>
      <c r="Y19">
        <v>663169</v>
      </c>
      <c r="Z19">
        <v>4032</v>
      </c>
      <c r="AA19">
        <v>4562</v>
      </c>
      <c r="AB19">
        <v>2798</v>
      </c>
      <c r="AC19">
        <v>24435</v>
      </c>
      <c r="AD19">
        <v>3786</v>
      </c>
      <c r="AE19">
        <v>1769</v>
      </c>
      <c r="AF19">
        <v>8047</v>
      </c>
    </row>
    <row r="20" spans="1:32" x14ac:dyDescent="0.2">
      <c r="A20" t="s">
        <v>16</v>
      </c>
      <c r="B20" t="s">
        <v>15</v>
      </c>
      <c r="C20" t="s">
        <v>14</v>
      </c>
      <c r="D20">
        <v>9009</v>
      </c>
      <c r="E20">
        <v>6000257</v>
      </c>
      <c r="F20">
        <v>126126</v>
      </c>
      <c r="G20">
        <v>2378365</v>
      </c>
      <c r="H20">
        <v>2378365</v>
      </c>
      <c r="I20">
        <v>3621892</v>
      </c>
      <c r="J20">
        <v>0</v>
      </c>
      <c r="K20">
        <v>312</v>
      </c>
      <c r="L20">
        <v>312</v>
      </c>
      <c r="M20">
        <v>2</v>
      </c>
      <c r="N20">
        <v>27</v>
      </c>
      <c r="O20">
        <v>57</v>
      </c>
      <c r="P20">
        <v>94</v>
      </c>
      <c r="Q20">
        <v>109</v>
      </c>
      <c r="R20">
        <v>20</v>
      </c>
      <c r="S20">
        <v>3</v>
      </c>
      <c r="T20">
        <v>0</v>
      </c>
      <c r="U20">
        <v>0</v>
      </c>
      <c r="V20">
        <v>144079</v>
      </c>
      <c r="W20">
        <v>63527</v>
      </c>
      <c r="X20">
        <v>90057</v>
      </c>
      <c r="Y20">
        <v>800680</v>
      </c>
      <c r="Z20">
        <v>168567</v>
      </c>
      <c r="AA20">
        <v>271133</v>
      </c>
      <c r="AB20">
        <v>324193</v>
      </c>
      <c r="AC20">
        <v>319811</v>
      </c>
      <c r="AD20">
        <v>330889</v>
      </c>
      <c r="AE20">
        <v>194962</v>
      </c>
      <c r="AF20">
        <v>265474</v>
      </c>
    </row>
    <row r="21" spans="1:32" x14ac:dyDescent="0.2">
      <c r="A21" t="s">
        <v>16</v>
      </c>
      <c r="B21" t="s">
        <v>15</v>
      </c>
      <c r="C21" t="s">
        <v>14</v>
      </c>
      <c r="D21">
        <v>9885</v>
      </c>
      <c r="E21">
        <v>6011200</v>
      </c>
      <c r="F21">
        <v>127835</v>
      </c>
      <c r="G21">
        <v>2555016</v>
      </c>
      <c r="H21">
        <v>2555016</v>
      </c>
      <c r="I21">
        <v>3456184</v>
      </c>
      <c r="J21">
        <v>0</v>
      </c>
      <c r="K21">
        <v>24307</v>
      </c>
      <c r="L21">
        <v>24307</v>
      </c>
      <c r="M21">
        <v>4</v>
      </c>
      <c r="N21">
        <v>39</v>
      </c>
      <c r="O21">
        <v>6097</v>
      </c>
      <c r="P21">
        <v>6340</v>
      </c>
      <c r="Q21">
        <v>8099</v>
      </c>
      <c r="R21">
        <v>3726</v>
      </c>
      <c r="S21">
        <v>2</v>
      </c>
      <c r="T21">
        <v>0</v>
      </c>
      <c r="U21">
        <v>0</v>
      </c>
      <c r="V21">
        <v>117722</v>
      </c>
      <c r="W21">
        <v>78354</v>
      </c>
      <c r="X21">
        <v>80473</v>
      </c>
      <c r="Y21">
        <v>825311</v>
      </c>
      <c r="Z21">
        <v>178434</v>
      </c>
      <c r="AA21">
        <v>274430</v>
      </c>
      <c r="AB21">
        <v>278668</v>
      </c>
      <c r="AC21">
        <v>494528</v>
      </c>
      <c r="AD21">
        <v>346398</v>
      </c>
      <c r="AE21">
        <v>161976</v>
      </c>
      <c r="AF21">
        <v>247508</v>
      </c>
    </row>
    <row r="22" spans="1:32" x14ac:dyDescent="0.2">
      <c r="A22" t="s">
        <v>16</v>
      </c>
      <c r="B22" t="s">
        <v>15</v>
      </c>
      <c r="C22" t="s">
        <v>14</v>
      </c>
      <c r="D22" t="s">
        <v>13</v>
      </c>
      <c r="E22">
        <v>13972705</v>
      </c>
      <c r="F22">
        <v>1704</v>
      </c>
      <c r="G22">
        <v>107156573</v>
      </c>
      <c r="H22">
        <v>34830114</v>
      </c>
      <c r="I22">
        <v>166800738</v>
      </c>
      <c r="J22">
        <v>5496789</v>
      </c>
      <c r="K22">
        <v>755361</v>
      </c>
      <c r="L22">
        <v>817111</v>
      </c>
      <c r="M22">
        <v>108</v>
      </c>
      <c r="N22">
        <v>136743</v>
      </c>
      <c r="O22">
        <v>82331</v>
      </c>
      <c r="P22">
        <v>247311</v>
      </c>
      <c r="Q22">
        <v>217283</v>
      </c>
      <c r="R22">
        <v>56376</v>
      </c>
      <c r="S22">
        <v>110</v>
      </c>
      <c r="T22">
        <v>76839</v>
      </c>
      <c r="U22">
        <v>72326459</v>
      </c>
      <c r="V22">
        <v>1365949</v>
      </c>
      <c r="W22">
        <v>753677</v>
      </c>
      <c r="X22">
        <v>905744</v>
      </c>
      <c r="Y22">
        <v>15236515</v>
      </c>
      <c r="Z22">
        <v>2135113</v>
      </c>
      <c r="AA22">
        <v>2873303</v>
      </c>
      <c r="AB22">
        <v>3177437</v>
      </c>
      <c r="AC22">
        <v>4897458</v>
      </c>
      <c r="AD22">
        <v>3763096</v>
      </c>
      <c r="AE22">
        <v>1977186</v>
      </c>
      <c r="AF22">
        <v>2978023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98BB-7C04-C74B-A103-6BBDA98A3DCA}">
  <dimension ref="A1:AF22"/>
  <sheetViews>
    <sheetView workbookViewId="0">
      <selection activeCell="K4" activeCellId="3" sqref="E4:E22 G4:G22 I4:I22 K4:L22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44</v>
      </c>
    </row>
    <row r="3" spans="1:32" x14ac:dyDescent="0.2">
      <c r="A3" t="s">
        <v>43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144684</v>
      </c>
      <c r="F5">
        <v>1760</v>
      </c>
      <c r="G5">
        <v>30638</v>
      </c>
      <c r="H5">
        <v>30638</v>
      </c>
      <c r="I5">
        <v>114046</v>
      </c>
      <c r="J5">
        <v>0</v>
      </c>
      <c r="K5">
        <v>38</v>
      </c>
      <c r="L5">
        <v>38</v>
      </c>
      <c r="M5">
        <v>0</v>
      </c>
      <c r="N5">
        <v>0</v>
      </c>
      <c r="O5">
        <v>0</v>
      </c>
      <c r="P5">
        <v>11</v>
      </c>
      <c r="Q5">
        <v>27</v>
      </c>
      <c r="R5">
        <v>0</v>
      </c>
      <c r="S5">
        <v>0</v>
      </c>
      <c r="T5">
        <v>0</v>
      </c>
      <c r="U5">
        <v>0</v>
      </c>
      <c r="V5">
        <v>435</v>
      </c>
      <c r="W5">
        <v>312</v>
      </c>
      <c r="X5">
        <v>308</v>
      </c>
      <c r="Y5">
        <v>21274</v>
      </c>
      <c r="Z5">
        <v>1230</v>
      </c>
      <c r="AA5">
        <v>1059</v>
      </c>
      <c r="AB5">
        <v>1051</v>
      </c>
      <c r="AC5">
        <v>3348</v>
      </c>
      <c r="AD5">
        <v>1594</v>
      </c>
      <c r="AE5">
        <v>652</v>
      </c>
      <c r="AF5">
        <v>1447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150203</v>
      </c>
      <c r="F6">
        <v>1725</v>
      </c>
      <c r="G6">
        <v>62050</v>
      </c>
      <c r="H6">
        <v>62050</v>
      </c>
      <c r="I6">
        <v>88153</v>
      </c>
      <c r="J6">
        <v>0</v>
      </c>
      <c r="K6">
        <v>272</v>
      </c>
      <c r="L6">
        <v>272</v>
      </c>
      <c r="M6">
        <v>0</v>
      </c>
      <c r="N6">
        <v>0</v>
      </c>
      <c r="O6">
        <v>84</v>
      </c>
      <c r="P6">
        <v>70</v>
      </c>
      <c r="Q6">
        <v>83</v>
      </c>
      <c r="R6">
        <v>35</v>
      </c>
      <c r="S6">
        <v>0</v>
      </c>
      <c r="T6">
        <v>0</v>
      </c>
      <c r="U6">
        <v>0</v>
      </c>
      <c r="V6">
        <v>2930</v>
      </c>
      <c r="W6">
        <v>1747</v>
      </c>
      <c r="X6">
        <v>1999</v>
      </c>
      <c r="Y6">
        <v>19924</v>
      </c>
      <c r="Z6">
        <v>4174</v>
      </c>
      <c r="AA6">
        <v>6424</v>
      </c>
      <c r="AB6">
        <v>6928</v>
      </c>
      <c r="AC6">
        <v>11963</v>
      </c>
      <c r="AD6">
        <v>8556</v>
      </c>
      <c r="AE6">
        <v>4080</v>
      </c>
      <c r="AF6">
        <v>6405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145550</v>
      </c>
      <c r="F7">
        <v>1417</v>
      </c>
      <c r="G7">
        <v>55071</v>
      </c>
      <c r="H7">
        <v>55071</v>
      </c>
      <c r="I7">
        <v>90479</v>
      </c>
      <c r="J7">
        <v>0</v>
      </c>
      <c r="K7">
        <v>280</v>
      </c>
      <c r="L7">
        <v>280</v>
      </c>
      <c r="M7">
        <v>1</v>
      </c>
      <c r="N7">
        <v>0</v>
      </c>
      <c r="O7">
        <v>64</v>
      </c>
      <c r="P7">
        <v>54</v>
      </c>
      <c r="Q7">
        <v>133</v>
      </c>
      <c r="R7">
        <v>28</v>
      </c>
      <c r="S7">
        <v>0</v>
      </c>
      <c r="T7">
        <v>0</v>
      </c>
      <c r="U7">
        <v>0</v>
      </c>
      <c r="V7">
        <v>1644</v>
      </c>
      <c r="W7">
        <v>1022</v>
      </c>
      <c r="X7">
        <v>1312</v>
      </c>
      <c r="Y7">
        <v>20060</v>
      </c>
      <c r="Z7">
        <v>5650</v>
      </c>
      <c r="AA7">
        <v>3688</v>
      </c>
      <c r="AB7">
        <v>4268</v>
      </c>
      <c r="AC7">
        <v>9909</v>
      </c>
      <c r="AD7">
        <v>7711</v>
      </c>
      <c r="AE7">
        <v>2885</v>
      </c>
      <c r="AF7">
        <v>4598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159450</v>
      </c>
      <c r="F8">
        <v>546</v>
      </c>
      <c r="G8">
        <v>195917</v>
      </c>
      <c r="H8">
        <v>187095</v>
      </c>
      <c r="I8">
        <v>277875</v>
      </c>
      <c r="J8">
        <v>4558</v>
      </c>
      <c r="K8">
        <v>11155</v>
      </c>
      <c r="L8">
        <v>11189</v>
      </c>
      <c r="M8">
        <v>7</v>
      </c>
      <c r="N8">
        <v>3663</v>
      </c>
      <c r="O8">
        <v>1434</v>
      </c>
      <c r="P8">
        <v>1448</v>
      </c>
      <c r="Q8">
        <v>1448</v>
      </c>
      <c r="R8">
        <v>1006</v>
      </c>
      <c r="S8">
        <v>1</v>
      </c>
      <c r="T8">
        <v>2182</v>
      </c>
      <c r="U8">
        <v>8822</v>
      </c>
      <c r="V8">
        <v>10343</v>
      </c>
      <c r="W8">
        <v>5183</v>
      </c>
      <c r="X8">
        <v>5868</v>
      </c>
      <c r="Y8">
        <v>59461</v>
      </c>
      <c r="Z8">
        <v>10950</v>
      </c>
      <c r="AA8">
        <v>20709</v>
      </c>
      <c r="AB8">
        <v>22079</v>
      </c>
      <c r="AC8">
        <v>29251</v>
      </c>
      <c r="AD8">
        <v>23462</v>
      </c>
      <c r="AE8">
        <v>13504</v>
      </c>
      <c r="AF8">
        <v>17884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146433</v>
      </c>
      <c r="F9">
        <v>1505</v>
      </c>
      <c r="G9">
        <v>61835</v>
      </c>
      <c r="H9">
        <v>61835</v>
      </c>
      <c r="I9">
        <v>84598</v>
      </c>
      <c r="J9">
        <v>0</v>
      </c>
      <c r="K9">
        <v>219</v>
      </c>
      <c r="L9">
        <v>219</v>
      </c>
      <c r="M9">
        <v>0</v>
      </c>
      <c r="N9">
        <v>0</v>
      </c>
      <c r="O9">
        <v>57</v>
      </c>
      <c r="P9">
        <v>51</v>
      </c>
      <c r="Q9">
        <v>88</v>
      </c>
      <c r="R9">
        <v>23</v>
      </c>
      <c r="S9">
        <v>0</v>
      </c>
      <c r="T9">
        <v>0</v>
      </c>
      <c r="U9">
        <v>0</v>
      </c>
      <c r="V9">
        <v>2725</v>
      </c>
      <c r="W9">
        <v>1491</v>
      </c>
      <c r="X9">
        <v>1861</v>
      </c>
      <c r="Y9">
        <v>21265</v>
      </c>
      <c r="Z9">
        <v>4659</v>
      </c>
      <c r="AA9">
        <v>5707</v>
      </c>
      <c r="AB9">
        <v>6447</v>
      </c>
      <c r="AC9">
        <v>10290</v>
      </c>
      <c r="AD9">
        <v>9132</v>
      </c>
      <c r="AE9">
        <v>4128</v>
      </c>
      <c r="AF9">
        <v>6065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147627</v>
      </c>
      <c r="F10">
        <v>748</v>
      </c>
      <c r="G10">
        <v>49661</v>
      </c>
      <c r="H10">
        <v>49647</v>
      </c>
      <c r="I10">
        <v>243478</v>
      </c>
      <c r="J10">
        <v>2115</v>
      </c>
      <c r="K10">
        <v>6657</v>
      </c>
      <c r="L10">
        <v>6666</v>
      </c>
      <c r="M10">
        <v>1</v>
      </c>
      <c r="N10">
        <v>0</v>
      </c>
      <c r="O10">
        <v>0</v>
      </c>
      <c r="P10">
        <v>3950</v>
      </c>
      <c r="Q10">
        <v>2715</v>
      </c>
      <c r="R10">
        <v>0</v>
      </c>
      <c r="S10">
        <v>0</v>
      </c>
      <c r="T10">
        <v>0</v>
      </c>
      <c r="U10">
        <v>14</v>
      </c>
      <c r="V10">
        <v>203</v>
      </c>
      <c r="W10">
        <v>44</v>
      </c>
      <c r="X10">
        <v>31</v>
      </c>
      <c r="Y10">
        <v>39386</v>
      </c>
      <c r="Z10">
        <v>258</v>
      </c>
      <c r="AA10">
        <v>291</v>
      </c>
      <c r="AB10">
        <v>265</v>
      </c>
      <c r="AC10">
        <v>1073</v>
      </c>
      <c r="AD10">
        <v>972</v>
      </c>
      <c r="AE10">
        <v>380</v>
      </c>
      <c r="AF10">
        <v>634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145515</v>
      </c>
      <c r="F11">
        <v>1472</v>
      </c>
      <c r="G11">
        <v>20878</v>
      </c>
      <c r="H11">
        <v>20878</v>
      </c>
      <c r="I11">
        <v>124637</v>
      </c>
      <c r="J11">
        <v>0</v>
      </c>
      <c r="K11">
        <v>3</v>
      </c>
      <c r="L11">
        <v>3</v>
      </c>
      <c r="M11">
        <v>0</v>
      </c>
      <c r="N11">
        <v>0</v>
      </c>
      <c r="O11">
        <v>0</v>
      </c>
      <c r="P11">
        <v>1</v>
      </c>
      <c r="Q11">
        <v>2</v>
      </c>
      <c r="R11">
        <v>0</v>
      </c>
      <c r="S11">
        <v>0</v>
      </c>
      <c r="T11">
        <v>0</v>
      </c>
      <c r="U11">
        <v>0</v>
      </c>
      <c r="V11">
        <v>36</v>
      </c>
      <c r="W11">
        <v>37</v>
      </c>
      <c r="X11">
        <v>19</v>
      </c>
      <c r="Y11">
        <v>19616</v>
      </c>
      <c r="Z11">
        <v>205</v>
      </c>
      <c r="AA11">
        <v>110</v>
      </c>
      <c r="AB11">
        <v>74</v>
      </c>
      <c r="AC11">
        <v>474</v>
      </c>
      <c r="AD11">
        <v>212</v>
      </c>
      <c r="AE11">
        <v>85</v>
      </c>
      <c r="AF11">
        <v>191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145311</v>
      </c>
      <c r="F12">
        <v>1786</v>
      </c>
      <c r="G12">
        <v>61900</v>
      </c>
      <c r="H12">
        <v>61900</v>
      </c>
      <c r="I12">
        <v>83411</v>
      </c>
      <c r="J12">
        <v>0</v>
      </c>
      <c r="K12">
        <v>12</v>
      </c>
      <c r="L12">
        <v>12</v>
      </c>
      <c r="M12">
        <v>0</v>
      </c>
      <c r="N12">
        <v>1</v>
      </c>
      <c r="O12">
        <v>2</v>
      </c>
      <c r="P12">
        <v>5</v>
      </c>
      <c r="Q12">
        <v>4</v>
      </c>
      <c r="R12">
        <v>0</v>
      </c>
      <c r="S12">
        <v>0</v>
      </c>
      <c r="T12">
        <v>0</v>
      </c>
      <c r="U12">
        <v>0</v>
      </c>
      <c r="V12">
        <v>3649</v>
      </c>
      <c r="W12">
        <v>1561</v>
      </c>
      <c r="X12">
        <v>2114</v>
      </c>
      <c r="Y12">
        <v>20209</v>
      </c>
      <c r="Z12">
        <v>4811</v>
      </c>
      <c r="AA12">
        <v>6771</v>
      </c>
      <c r="AB12">
        <v>7877</v>
      </c>
      <c r="AC12">
        <v>9242</v>
      </c>
      <c r="AD12">
        <v>9056</v>
      </c>
      <c r="AE12">
        <v>4747</v>
      </c>
      <c r="AF12">
        <v>6499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150329</v>
      </c>
      <c r="F13">
        <v>1812</v>
      </c>
      <c r="G13">
        <v>62895</v>
      </c>
      <c r="H13">
        <v>62895</v>
      </c>
      <c r="I13">
        <v>87434</v>
      </c>
      <c r="J13">
        <v>0</v>
      </c>
      <c r="K13">
        <v>254</v>
      </c>
      <c r="L13">
        <v>254</v>
      </c>
      <c r="M13">
        <v>0</v>
      </c>
      <c r="N13">
        <v>1</v>
      </c>
      <c r="O13">
        <v>62</v>
      </c>
      <c r="P13">
        <v>85</v>
      </c>
      <c r="Q13">
        <v>76</v>
      </c>
      <c r="R13">
        <v>30</v>
      </c>
      <c r="S13">
        <v>0</v>
      </c>
      <c r="T13">
        <v>0</v>
      </c>
      <c r="U13">
        <v>0</v>
      </c>
      <c r="V13">
        <v>2649</v>
      </c>
      <c r="W13">
        <v>1403</v>
      </c>
      <c r="X13">
        <v>1915</v>
      </c>
      <c r="Y13">
        <v>19830</v>
      </c>
      <c r="Z13">
        <v>6196</v>
      </c>
      <c r="AA13">
        <v>5455</v>
      </c>
      <c r="AB13">
        <v>6479</v>
      </c>
      <c r="AC13">
        <v>10836</v>
      </c>
      <c r="AD13">
        <v>9030</v>
      </c>
      <c r="AE13">
        <v>4312</v>
      </c>
      <c r="AF13">
        <v>6470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110551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145878</v>
      </c>
      <c r="F15">
        <v>1608</v>
      </c>
      <c r="G15">
        <v>61921</v>
      </c>
      <c r="H15">
        <v>61921</v>
      </c>
      <c r="I15">
        <v>83957</v>
      </c>
      <c r="J15">
        <v>0</v>
      </c>
      <c r="K15">
        <v>131</v>
      </c>
      <c r="L15">
        <v>131</v>
      </c>
      <c r="M15">
        <v>0</v>
      </c>
      <c r="N15">
        <v>2</v>
      </c>
      <c r="O15">
        <v>35</v>
      </c>
      <c r="P15">
        <v>38</v>
      </c>
      <c r="Q15">
        <v>38</v>
      </c>
      <c r="R15">
        <v>18</v>
      </c>
      <c r="S15">
        <v>0</v>
      </c>
      <c r="T15">
        <v>0</v>
      </c>
      <c r="U15">
        <v>0</v>
      </c>
      <c r="V15">
        <v>3540</v>
      </c>
      <c r="W15">
        <v>1575</v>
      </c>
      <c r="X15">
        <v>2245</v>
      </c>
      <c r="Y15">
        <v>20132</v>
      </c>
      <c r="Z15">
        <v>4303</v>
      </c>
      <c r="AA15">
        <v>6690</v>
      </c>
      <c r="AB15">
        <v>8030</v>
      </c>
      <c r="AC15">
        <v>9395</v>
      </c>
      <c r="AD15">
        <v>9130</v>
      </c>
      <c r="AE15">
        <v>4805</v>
      </c>
      <c r="AF15">
        <v>6665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146061</v>
      </c>
      <c r="F16">
        <v>1693</v>
      </c>
      <c r="G16">
        <v>60142</v>
      </c>
      <c r="H16">
        <v>60142</v>
      </c>
      <c r="I16">
        <v>85919</v>
      </c>
      <c r="J16">
        <v>0</v>
      </c>
      <c r="K16">
        <v>10</v>
      </c>
      <c r="L16">
        <v>10</v>
      </c>
      <c r="M16">
        <v>0</v>
      </c>
      <c r="N16">
        <v>1</v>
      </c>
      <c r="O16">
        <v>0</v>
      </c>
      <c r="P16">
        <v>6</v>
      </c>
      <c r="Q16">
        <v>3</v>
      </c>
      <c r="R16">
        <v>0</v>
      </c>
      <c r="S16">
        <v>0</v>
      </c>
      <c r="T16">
        <v>0</v>
      </c>
      <c r="U16">
        <v>0</v>
      </c>
      <c r="V16">
        <v>2176</v>
      </c>
      <c r="W16">
        <v>2006</v>
      </c>
      <c r="X16">
        <v>1978</v>
      </c>
      <c r="Y16">
        <v>20489</v>
      </c>
      <c r="Z16">
        <v>3459</v>
      </c>
      <c r="AA16">
        <v>6188</v>
      </c>
      <c r="AB16">
        <v>6132</v>
      </c>
      <c r="AC16">
        <v>13656</v>
      </c>
      <c r="AD16">
        <v>7002</v>
      </c>
      <c r="AE16">
        <v>3369</v>
      </c>
      <c r="AF16">
        <v>5997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144770</v>
      </c>
      <c r="F17">
        <v>1787</v>
      </c>
      <c r="G17">
        <v>19456</v>
      </c>
      <c r="H17">
        <v>19456</v>
      </c>
      <c r="I17">
        <v>125314</v>
      </c>
      <c r="J17">
        <v>0</v>
      </c>
      <c r="K17">
        <v>4</v>
      </c>
      <c r="L17">
        <v>4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  <c r="U17">
        <v>0</v>
      </c>
      <c r="V17">
        <v>35</v>
      </c>
      <c r="W17">
        <v>27</v>
      </c>
      <c r="X17">
        <v>26</v>
      </c>
      <c r="Y17">
        <v>18457</v>
      </c>
      <c r="Z17">
        <v>161</v>
      </c>
      <c r="AA17">
        <v>89</v>
      </c>
      <c r="AB17">
        <v>87</v>
      </c>
      <c r="AC17">
        <v>368</v>
      </c>
      <c r="AD17">
        <v>141</v>
      </c>
      <c r="AE17">
        <v>73</v>
      </c>
      <c r="AF17">
        <v>164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147202</v>
      </c>
      <c r="F18">
        <v>1284</v>
      </c>
      <c r="G18">
        <v>34729</v>
      </c>
      <c r="H18">
        <v>34722</v>
      </c>
      <c r="I18">
        <v>256186</v>
      </c>
      <c r="J18">
        <v>3489</v>
      </c>
      <c r="K18">
        <v>25</v>
      </c>
      <c r="L18">
        <v>26</v>
      </c>
      <c r="M18">
        <v>0</v>
      </c>
      <c r="N18">
        <v>0</v>
      </c>
      <c r="O18">
        <v>1</v>
      </c>
      <c r="P18">
        <v>13</v>
      </c>
      <c r="Q18">
        <v>12</v>
      </c>
      <c r="R18">
        <v>0</v>
      </c>
      <c r="S18">
        <v>0</v>
      </c>
      <c r="T18">
        <v>0</v>
      </c>
      <c r="U18">
        <v>7</v>
      </c>
      <c r="V18">
        <v>74</v>
      </c>
      <c r="W18">
        <v>35</v>
      </c>
      <c r="X18">
        <v>60</v>
      </c>
      <c r="Y18">
        <v>33391</v>
      </c>
      <c r="Z18">
        <v>166</v>
      </c>
      <c r="AA18">
        <v>144</v>
      </c>
      <c r="AB18">
        <v>194</v>
      </c>
      <c r="AC18">
        <v>372</v>
      </c>
      <c r="AD18">
        <v>190</v>
      </c>
      <c r="AE18">
        <v>138</v>
      </c>
      <c r="AF18">
        <v>270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148335</v>
      </c>
      <c r="F19">
        <v>2195</v>
      </c>
      <c r="G19">
        <v>17729</v>
      </c>
      <c r="H19">
        <v>17729</v>
      </c>
      <c r="I19">
        <v>130606</v>
      </c>
      <c r="J19">
        <v>0</v>
      </c>
      <c r="K19">
        <v>8</v>
      </c>
      <c r="L19">
        <v>8</v>
      </c>
      <c r="M19">
        <v>0</v>
      </c>
      <c r="N19">
        <v>0</v>
      </c>
      <c r="O19">
        <v>0</v>
      </c>
      <c r="P19">
        <v>5</v>
      </c>
      <c r="Q19">
        <v>3</v>
      </c>
      <c r="R19">
        <v>0</v>
      </c>
      <c r="S19">
        <v>0</v>
      </c>
      <c r="T19">
        <v>0</v>
      </c>
      <c r="U19">
        <v>0</v>
      </c>
      <c r="V19">
        <v>23</v>
      </c>
      <c r="W19">
        <v>37</v>
      </c>
      <c r="X19">
        <v>18</v>
      </c>
      <c r="Y19">
        <v>16763</v>
      </c>
      <c r="Z19">
        <v>87</v>
      </c>
      <c r="AA19">
        <v>97</v>
      </c>
      <c r="AB19">
        <v>59</v>
      </c>
      <c r="AC19">
        <v>500</v>
      </c>
      <c r="AD19">
        <v>70</v>
      </c>
      <c r="AE19">
        <v>49</v>
      </c>
      <c r="AF19">
        <v>174</v>
      </c>
    </row>
    <row r="20" spans="1:32" x14ac:dyDescent="0.2">
      <c r="A20" t="s">
        <v>16</v>
      </c>
      <c r="B20" t="s">
        <v>15</v>
      </c>
      <c r="C20" t="s">
        <v>14</v>
      </c>
      <c r="D20">
        <v>9009</v>
      </c>
      <c r="E20">
        <v>145745</v>
      </c>
      <c r="F20">
        <v>1699</v>
      </c>
      <c r="G20">
        <v>61254</v>
      </c>
      <c r="H20">
        <v>61254</v>
      </c>
      <c r="I20">
        <v>84491</v>
      </c>
      <c r="J20">
        <v>0</v>
      </c>
      <c r="K20">
        <v>10</v>
      </c>
      <c r="L20">
        <v>10</v>
      </c>
      <c r="M20">
        <v>0</v>
      </c>
      <c r="N20">
        <v>1</v>
      </c>
      <c r="O20">
        <v>2</v>
      </c>
      <c r="P20">
        <v>2</v>
      </c>
      <c r="Q20">
        <v>5</v>
      </c>
      <c r="R20">
        <v>0</v>
      </c>
      <c r="S20">
        <v>0</v>
      </c>
      <c r="T20">
        <v>0</v>
      </c>
      <c r="U20">
        <v>0</v>
      </c>
      <c r="V20">
        <v>3543</v>
      </c>
      <c r="W20">
        <v>1583</v>
      </c>
      <c r="X20">
        <v>2357</v>
      </c>
      <c r="Y20">
        <v>20430</v>
      </c>
      <c r="Z20">
        <v>4411</v>
      </c>
      <c r="AA20">
        <v>6709</v>
      </c>
      <c r="AB20">
        <v>8257</v>
      </c>
      <c r="AC20">
        <v>8524</v>
      </c>
      <c r="AD20">
        <v>8979</v>
      </c>
      <c r="AE20">
        <v>4815</v>
      </c>
      <c r="AF20">
        <v>6602</v>
      </c>
    </row>
    <row r="21" spans="1:32" x14ac:dyDescent="0.2">
      <c r="A21" t="s">
        <v>16</v>
      </c>
      <c r="B21" t="s">
        <v>15</v>
      </c>
      <c r="C21" t="s">
        <v>14</v>
      </c>
      <c r="D21">
        <v>9885</v>
      </c>
      <c r="E21">
        <v>145637</v>
      </c>
      <c r="F21">
        <v>1710</v>
      </c>
      <c r="G21">
        <v>67904</v>
      </c>
      <c r="H21">
        <v>67904</v>
      </c>
      <c r="I21">
        <v>77733</v>
      </c>
      <c r="J21">
        <v>0</v>
      </c>
      <c r="K21">
        <v>313</v>
      </c>
      <c r="L21">
        <v>313</v>
      </c>
      <c r="M21">
        <v>0</v>
      </c>
      <c r="N21">
        <v>0</v>
      </c>
      <c r="O21">
        <v>64</v>
      </c>
      <c r="P21">
        <v>76</v>
      </c>
      <c r="Q21">
        <v>132</v>
      </c>
      <c r="R21">
        <v>41</v>
      </c>
      <c r="S21">
        <v>0</v>
      </c>
      <c r="T21">
        <v>0</v>
      </c>
      <c r="U21">
        <v>0</v>
      </c>
      <c r="V21">
        <v>3335</v>
      </c>
      <c r="W21">
        <v>2009</v>
      </c>
      <c r="X21">
        <v>2215</v>
      </c>
      <c r="Y21">
        <v>20420</v>
      </c>
      <c r="Z21">
        <v>5020</v>
      </c>
      <c r="AA21">
        <v>7353</v>
      </c>
      <c r="AB21">
        <v>7765</v>
      </c>
      <c r="AC21">
        <v>13115</v>
      </c>
      <c r="AD21">
        <v>9911</v>
      </c>
      <c r="AE21">
        <v>4732</v>
      </c>
      <c r="AF21">
        <v>6834</v>
      </c>
    </row>
    <row r="22" spans="1:32" x14ac:dyDescent="0.2">
      <c r="A22" t="s">
        <v>16</v>
      </c>
      <c r="B22" t="s">
        <v>15</v>
      </c>
      <c r="C22" t="s">
        <v>14</v>
      </c>
      <c r="D22" t="s">
        <v>13</v>
      </c>
      <c r="E22">
        <v>375283</v>
      </c>
      <c r="F22">
        <v>7</v>
      </c>
      <c r="G22">
        <v>2986609</v>
      </c>
      <c r="H22">
        <v>905456</v>
      </c>
      <c r="I22">
        <v>4445936</v>
      </c>
      <c r="J22">
        <v>73115</v>
      </c>
      <c r="K22">
        <v>18163</v>
      </c>
      <c r="L22">
        <v>19294</v>
      </c>
      <c r="M22">
        <v>9</v>
      </c>
      <c r="N22">
        <v>3640</v>
      </c>
      <c r="O22">
        <v>1792</v>
      </c>
      <c r="P22">
        <v>5775</v>
      </c>
      <c r="Q22">
        <v>4741</v>
      </c>
      <c r="R22">
        <v>1173</v>
      </c>
      <c r="S22">
        <v>1</v>
      </c>
      <c r="T22">
        <v>2163</v>
      </c>
      <c r="U22">
        <v>2081153</v>
      </c>
      <c r="V22">
        <v>36739</v>
      </c>
      <c r="W22">
        <v>19773</v>
      </c>
      <c r="X22">
        <v>24087</v>
      </c>
      <c r="Y22">
        <v>387973</v>
      </c>
      <c r="Z22">
        <v>55169</v>
      </c>
      <c r="AA22">
        <v>76285</v>
      </c>
      <c r="AB22">
        <v>84913</v>
      </c>
      <c r="AC22">
        <v>130469</v>
      </c>
      <c r="AD22">
        <v>103665</v>
      </c>
      <c r="AE22">
        <v>52118</v>
      </c>
      <c r="AF22">
        <v>76164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7760-6249-C24F-9E88-979914A3E72C}">
  <dimension ref="A1:AF22"/>
  <sheetViews>
    <sheetView workbookViewId="0">
      <selection activeCell="D4" sqref="D4:D22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44</v>
      </c>
    </row>
    <row r="3" spans="1:32" x14ac:dyDescent="0.2">
      <c r="A3" t="s">
        <v>43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5724722</v>
      </c>
      <c r="F5">
        <v>145339</v>
      </c>
      <c r="G5">
        <v>974019</v>
      </c>
      <c r="H5">
        <v>974019</v>
      </c>
      <c r="I5">
        <v>4750703</v>
      </c>
      <c r="J5">
        <v>0</v>
      </c>
      <c r="K5">
        <v>1022</v>
      </c>
      <c r="L5">
        <v>1022</v>
      </c>
      <c r="M5">
        <v>1</v>
      </c>
      <c r="N5">
        <v>8</v>
      </c>
      <c r="O5">
        <v>33</v>
      </c>
      <c r="P5">
        <v>365</v>
      </c>
      <c r="Q5">
        <v>582</v>
      </c>
      <c r="R5">
        <v>31</v>
      </c>
      <c r="S5">
        <v>2</v>
      </c>
      <c r="T5">
        <v>0</v>
      </c>
      <c r="U5">
        <v>0</v>
      </c>
      <c r="V5">
        <v>20864</v>
      </c>
      <c r="W5">
        <v>16432</v>
      </c>
      <c r="X5">
        <v>16430</v>
      </c>
      <c r="Y5">
        <v>552953</v>
      </c>
      <c r="Z5">
        <v>53055</v>
      </c>
      <c r="AA5">
        <v>53728</v>
      </c>
      <c r="AB5">
        <v>53724</v>
      </c>
      <c r="AC5">
        <v>148478</v>
      </c>
      <c r="AD5">
        <v>72524</v>
      </c>
      <c r="AE5">
        <v>30070</v>
      </c>
      <c r="AF5">
        <v>62191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6009051</v>
      </c>
      <c r="F6">
        <v>139879</v>
      </c>
      <c r="G6">
        <v>2093464</v>
      </c>
      <c r="H6">
        <v>2093464</v>
      </c>
      <c r="I6">
        <v>3915587</v>
      </c>
      <c r="J6">
        <v>0</v>
      </c>
      <c r="K6">
        <v>17547</v>
      </c>
      <c r="L6">
        <v>17547</v>
      </c>
      <c r="M6">
        <v>2</v>
      </c>
      <c r="N6">
        <v>31</v>
      </c>
      <c r="O6">
        <v>5435</v>
      </c>
      <c r="P6">
        <v>3990</v>
      </c>
      <c r="Q6">
        <v>5402</v>
      </c>
      <c r="R6">
        <v>2685</v>
      </c>
      <c r="S6">
        <v>2</v>
      </c>
      <c r="T6">
        <v>0</v>
      </c>
      <c r="U6">
        <v>0</v>
      </c>
      <c r="V6">
        <v>109062</v>
      </c>
      <c r="W6">
        <v>71056</v>
      </c>
      <c r="X6">
        <v>79059</v>
      </c>
      <c r="Y6">
        <v>518418</v>
      </c>
      <c r="Z6">
        <v>157484</v>
      </c>
      <c r="AA6">
        <v>251174</v>
      </c>
      <c r="AB6">
        <v>267180</v>
      </c>
      <c r="AC6">
        <v>445820</v>
      </c>
      <c r="AD6">
        <v>309245</v>
      </c>
      <c r="AE6">
        <v>144004</v>
      </c>
      <c r="AF6">
        <v>241764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5788765</v>
      </c>
      <c r="F7">
        <v>128605</v>
      </c>
      <c r="G7">
        <v>1702911</v>
      </c>
      <c r="H7">
        <v>1702911</v>
      </c>
      <c r="I7">
        <v>4085854</v>
      </c>
      <c r="J7">
        <v>0</v>
      </c>
      <c r="K7">
        <v>20182</v>
      </c>
      <c r="L7">
        <v>20182</v>
      </c>
      <c r="M7">
        <v>3</v>
      </c>
      <c r="N7">
        <v>70</v>
      </c>
      <c r="O7">
        <v>3215</v>
      </c>
      <c r="P7">
        <v>4932</v>
      </c>
      <c r="Q7">
        <v>10454</v>
      </c>
      <c r="R7">
        <v>1505</v>
      </c>
      <c r="S7">
        <v>2</v>
      </c>
      <c r="T7">
        <v>0</v>
      </c>
      <c r="U7">
        <v>0</v>
      </c>
      <c r="V7">
        <v>54642</v>
      </c>
      <c r="W7">
        <v>33291</v>
      </c>
      <c r="X7">
        <v>35515</v>
      </c>
      <c r="Y7">
        <v>509251</v>
      </c>
      <c r="Z7">
        <v>211112</v>
      </c>
      <c r="AA7">
        <v>121224</v>
      </c>
      <c r="AB7">
        <v>125672</v>
      </c>
      <c r="AC7">
        <v>336407</v>
      </c>
      <c r="AD7">
        <v>258418</v>
      </c>
      <c r="AE7">
        <v>98968</v>
      </c>
      <c r="AF7">
        <v>145125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6461570</v>
      </c>
      <c r="F8">
        <v>51616</v>
      </c>
      <c r="G8">
        <v>6700857</v>
      </c>
      <c r="H8">
        <v>6346637</v>
      </c>
      <c r="I8">
        <v>12281015</v>
      </c>
      <c r="J8">
        <v>402838</v>
      </c>
      <c r="K8">
        <v>436609</v>
      </c>
      <c r="L8">
        <v>438591</v>
      </c>
      <c r="M8">
        <v>59</v>
      </c>
      <c r="N8">
        <v>138103</v>
      </c>
      <c r="O8">
        <v>58058</v>
      </c>
      <c r="P8">
        <v>61795</v>
      </c>
      <c r="Q8">
        <v>63722</v>
      </c>
      <c r="R8">
        <v>40057</v>
      </c>
      <c r="S8">
        <v>46</v>
      </c>
      <c r="T8">
        <v>76749</v>
      </c>
      <c r="U8">
        <v>354220</v>
      </c>
      <c r="V8">
        <v>385388</v>
      </c>
      <c r="W8">
        <v>195637</v>
      </c>
      <c r="X8">
        <v>233262</v>
      </c>
      <c r="Y8">
        <v>1415557</v>
      </c>
      <c r="Z8">
        <v>432827</v>
      </c>
      <c r="AA8">
        <v>776662</v>
      </c>
      <c r="AB8">
        <v>851912</v>
      </c>
      <c r="AC8">
        <v>1136675</v>
      </c>
      <c r="AD8">
        <v>905105</v>
      </c>
      <c r="AE8">
        <v>501666</v>
      </c>
      <c r="AF8">
        <v>701905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5825634</v>
      </c>
      <c r="F9">
        <v>124525</v>
      </c>
      <c r="G9">
        <v>2033150</v>
      </c>
      <c r="H9">
        <v>2033150</v>
      </c>
      <c r="I9">
        <v>3792484</v>
      </c>
      <c r="J9">
        <v>0</v>
      </c>
      <c r="K9">
        <v>15664</v>
      </c>
      <c r="L9">
        <v>15664</v>
      </c>
      <c r="M9">
        <v>0</v>
      </c>
      <c r="N9">
        <v>26</v>
      </c>
      <c r="O9">
        <v>4009</v>
      </c>
      <c r="P9">
        <v>3140</v>
      </c>
      <c r="Q9">
        <v>5764</v>
      </c>
      <c r="R9">
        <v>2724</v>
      </c>
      <c r="S9">
        <v>1</v>
      </c>
      <c r="T9">
        <v>0</v>
      </c>
      <c r="U9">
        <v>0</v>
      </c>
      <c r="V9">
        <v>102625</v>
      </c>
      <c r="W9">
        <v>51807</v>
      </c>
      <c r="X9">
        <v>69022</v>
      </c>
      <c r="Y9">
        <v>513928</v>
      </c>
      <c r="Z9">
        <v>182890</v>
      </c>
      <c r="AA9">
        <v>206239</v>
      </c>
      <c r="AB9">
        <v>240669</v>
      </c>
      <c r="AC9">
        <v>387809</v>
      </c>
      <c r="AD9">
        <v>331235</v>
      </c>
      <c r="AE9">
        <v>155561</v>
      </c>
      <c r="AF9">
        <v>222602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5940534</v>
      </c>
      <c r="F10">
        <v>62796</v>
      </c>
      <c r="G10">
        <v>1446659</v>
      </c>
      <c r="H10">
        <v>1445198</v>
      </c>
      <c r="I10">
        <v>10246006</v>
      </c>
      <c r="J10">
        <v>188403</v>
      </c>
      <c r="K10">
        <v>266345</v>
      </c>
      <c r="L10">
        <v>266524</v>
      </c>
      <c r="M10">
        <v>4</v>
      </c>
      <c r="N10">
        <v>10</v>
      </c>
      <c r="O10">
        <v>0</v>
      </c>
      <c r="P10">
        <v>150927</v>
      </c>
      <c r="Q10">
        <v>115577</v>
      </c>
      <c r="R10">
        <v>1</v>
      </c>
      <c r="S10">
        <v>4</v>
      </c>
      <c r="T10">
        <v>0</v>
      </c>
      <c r="U10">
        <v>1461</v>
      </c>
      <c r="V10">
        <v>10214</v>
      </c>
      <c r="W10">
        <v>1658</v>
      </c>
      <c r="X10">
        <v>1609</v>
      </c>
      <c r="Y10">
        <v>1018614</v>
      </c>
      <c r="Z10">
        <v>11545</v>
      </c>
      <c r="AA10">
        <v>13530</v>
      </c>
      <c r="AB10">
        <v>13432</v>
      </c>
      <c r="AC10">
        <v>51739</v>
      </c>
      <c r="AD10">
        <v>43609</v>
      </c>
      <c r="AE10">
        <v>16595</v>
      </c>
      <c r="AF10">
        <v>23089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5786689</v>
      </c>
      <c r="F11">
        <v>122995</v>
      </c>
      <c r="G11">
        <v>568209</v>
      </c>
      <c r="H11">
        <v>568209</v>
      </c>
      <c r="I11">
        <v>5218480</v>
      </c>
      <c r="J11">
        <v>0</v>
      </c>
      <c r="K11">
        <v>352</v>
      </c>
      <c r="L11">
        <v>352</v>
      </c>
      <c r="M11">
        <v>1</v>
      </c>
      <c r="N11">
        <v>5</v>
      </c>
      <c r="O11">
        <v>3</v>
      </c>
      <c r="P11">
        <v>136</v>
      </c>
      <c r="Q11">
        <v>203</v>
      </c>
      <c r="R11">
        <v>3</v>
      </c>
      <c r="S11">
        <v>1</v>
      </c>
      <c r="T11">
        <v>0</v>
      </c>
      <c r="U11">
        <v>0</v>
      </c>
      <c r="V11">
        <v>2664</v>
      </c>
      <c r="W11">
        <v>1801</v>
      </c>
      <c r="X11">
        <v>1612</v>
      </c>
      <c r="Y11">
        <v>503758</v>
      </c>
      <c r="Z11">
        <v>9437</v>
      </c>
      <c r="AA11">
        <v>6266</v>
      </c>
      <c r="AB11">
        <v>5888</v>
      </c>
      <c r="AC11">
        <v>23642</v>
      </c>
      <c r="AD11">
        <v>11568</v>
      </c>
      <c r="AE11">
        <v>4057</v>
      </c>
      <c r="AF11">
        <v>9318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5784415</v>
      </c>
      <c r="F12">
        <v>141284</v>
      </c>
      <c r="G12">
        <v>2097450</v>
      </c>
      <c r="H12">
        <v>2097450</v>
      </c>
      <c r="I12">
        <v>3686965</v>
      </c>
      <c r="J12">
        <v>0</v>
      </c>
      <c r="K12">
        <v>481</v>
      </c>
      <c r="L12">
        <v>481</v>
      </c>
      <c r="M12">
        <v>1</v>
      </c>
      <c r="N12">
        <v>52</v>
      </c>
      <c r="O12">
        <v>68</v>
      </c>
      <c r="P12">
        <v>166</v>
      </c>
      <c r="Q12">
        <v>155</v>
      </c>
      <c r="R12">
        <v>38</v>
      </c>
      <c r="S12">
        <v>1</v>
      </c>
      <c r="T12">
        <v>0</v>
      </c>
      <c r="U12">
        <v>0</v>
      </c>
      <c r="V12">
        <v>131392</v>
      </c>
      <c r="W12">
        <v>59841</v>
      </c>
      <c r="X12">
        <v>83602</v>
      </c>
      <c r="Y12">
        <v>515738</v>
      </c>
      <c r="Z12">
        <v>187167</v>
      </c>
      <c r="AA12">
        <v>251074</v>
      </c>
      <c r="AB12">
        <v>298596</v>
      </c>
      <c r="AC12">
        <v>348053</v>
      </c>
      <c r="AD12">
        <v>345806</v>
      </c>
      <c r="AE12">
        <v>173963</v>
      </c>
      <c r="AF12">
        <v>251403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6029072</v>
      </c>
      <c r="F13">
        <v>151155</v>
      </c>
      <c r="G13">
        <v>2191441</v>
      </c>
      <c r="H13">
        <v>2191441</v>
      </c>
      <c r="I13">
        <v>3837631</v>
      </c>
      <c r="J13">
        <v>0</v>
      </c>
      <c r="K13">
        <v>22126</v>
      </c>
      <c r="L13">
        <v>22126</v>
      </c>
      <c r="M13">
        <v>2</v>
      </c>
      <c r="N13">
        <v>50</v>
      </c>
      <c r="O13">
        <v>4812</v>
      </c>
      <c r="P13">
        <v>8547</v>
      </c>
      <c r="Q13">
        <v>6573</v>
      </c>
      <c r="R13">
        <v>2136</v>
      </c>
      <c r="S13">
        <v>5</v>
      </c>
      <c r="T13">
        <v>1</v>
      </c>
      <c r="U13">
        <v>0</v>
      </c>
      <c r="V13">
        <v>102875</v>
      </c>
      <c r="W13">
        <v>55429</v>
      </c>
      <c r="X13">
        <v>67191</v>
      </c>
      <c r="Y13">
        <v>525411</v>
      </c>
      <c r="Z13">
        <v>242928</v>
      </c>
      <c r="AA13">
        <v>213733</v>
      </c>
      <c r="AB13">
        <v>237257</v>
      </c>
      <c r="AC13">
        <v>435482</v>
      </c>
      <c r="AD13">
        <v>342251</v>
      </c>
      <c r="AE13">
        <v>157841</v>
      </c>
      <c r="AF13">
        <v>239900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4341154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5809180</v>
      </c>
      <c r="F15">
        <v>149252</v>
      </c>
      <c r="G15">
        <v>2136711</v>
      </c>
      <c r="H15">
        <v>2136711</v>
      </c>
      <c r="I15">
        <v>3672469</v>
      </c>
      <c r="J15">
        <v>0</v>
      </c>
      <c r="K15">
        <v>11225</v>
      </c>
      <c r="L15">
        <v>11225</v>
      </c>
      <c r="M15">
        <v>2</v>
      </c>
      <c r="N15">
        <v>31</v>
      </c>
      <c r="O15">
        <v>3308</v>
      </c>
      <c r="P15">
        <v>3008</v>
      </c>
      <c r="Q15">
        <v>3497</v>
      </c>
      <c r="R15">
        <v>1378</v>
      </c>
      <c r="S15">
        <v>1</v>
      </c>
      <c r="T15">
        <v>0</v>
      </c>
      <c r="U15">
        <v>0</v>
      </c>
      <c r="V15">
        <v>138607</v>
      </c>
      <c r="W15">
        <v>62785</v>
      </c>
      <c r="X15">
        <v>89816</v>
      </c>
      <c r="Y15">
        <v>524707</v>
      </c>
      <c r="Z15">
        <v>178246</v>
      </c>
      <c r="AA15">
        <v>264177</v>
      </c>
      <c r="AB15">
        <v>318239</v>
      </c>
      <c r="AC15">
        <v>352275</v>
      </c>
      <c r="AD15">
        <v>344963</v>
      </c>
      <c r="AE15">
        <v>180572</v>
      </c>
      <c r="AF15">
        <v>253508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5798535</v>
      </c>
      <c r="F16">
        <v>140708</v>
      </c>
      <c r="G16">
        <v>1917723</v>
      </c>
      <c r="H16">
        <v>1917723</v>
      </c>
      <c r="I16">
        <v>3880812</v>
      </c>
      <c r="J16">
        <v>0</v>
      </c>
      <c r="K16">
        <v>1388</v>
      </c>
      <c r="L16">
        <v>1388</v>
      </c>
      <c r="M16">
        <v>1</v>
      </c>
      <c r="N16">
        <v>31</v>
      </c>
      <c r="O16">
        <v>225</v>
      </c>
      <c r="P16">
        <v>303</v>
      </c>
      <c r="Q16">
        <v>708</v>
      </c>
      <c r="R16">
        <v>115</v>
      </c>
      <c r="S16">
        <v>5</v>
      </c>
      <c r="T16">
        <v>0</v>
      </c>
      <c r="U16">
        <v>0</v>
      </c>
      <c r="V16">
        <v>76011</v>
      </c>
      <c r="W16">
        <v>73726</v>
      </c>
      <c r="X16">
        <v>68702</v>
      </c>
      <c r="Y16">
        <v>513006</v>
      </c>
      <c r="Z16">
        <v>125106</v>
      </c>
      <c r="AA16">
        <v>223463</v>
      </c>
      <c r="AB16">
        <v>213415</v>
      </c>
      <c r="AC16">
        <v>498500</v>
      </c>
      <c r="AD16">
        <v>233558</v>
      </c>
      <c r="AE16">
        <v>104212</v>
      </c>
      <c r="AF16">
        <v>223510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5759928</v>
      </c>
      <c r="F17">
        <v>144500</v>
      </c>
      <c r="G17">
        <v>516875</v>
      </c>
      <c r="H17">
        <v>516875</v>
      </c>
      <c r="I17">
        <v>5243053</v>
      </c>
      <c r="J17">
        <v>0</v>
      </c>
      <c r="K17">
        <v>224</v>
      </c>
      <c r="L17">
        <v>224</v>
      </c>
      <c r="M17">
        <v>8</v>
      </c>
      <c r="N17">
        <v>4</v>
      </c>
      <c r="O17">
        <v>4</v>
      </c>
      <c r="P17">
        <v>76</v>
      </c>
      <c r="Q17">
        <v>126</v>
      </c>
      <c r="R17">
        <v>5</v>
      </c>
      <c r="S17">
        <v>1</v>
      </c>
      <c r="T17">
        <v>0</v>
      </c>
      <c r="U17">
        <v>0</v>
      </c>
      <c r="V17">
        <v>1543</v>
      </c>
      <c r="W17">
        <v>1058</v>
      </c>
      <c r="X17">
        <v>1065</v>
      </c>
      <c r="Y17">
        <v>468298</v>
      </c>
      <c r="Z17">
        <v>8399</v>
      </c>
      <c r="AA17">
        <v>3659</v>
      </c>
      <c r="AB17">
        <v>3673</v>
      </c>
      <c r="AC17">
        <v>18323</v>
      </c>
      <c r="AD17">
        <v>7471</v>
      </c>
      <c r="AE17">
        <v>2738</v>
      </c>
      <c r="AF17">
        <v>7756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5841282</v>
      </c>
      <c r="F18">
        <v>92260</v>
      </c>
      <c r="G18">
        <v>847345</v>
      </c>
      <c r="H18">
        <v>846901</v>
      </c>
      <c r="I18">
        <v>10582005</v>
      </c>
      <c r="J18">
        <v>253214</v>
      </c>
      <c r="K18">
        <v>814</v>
      </c>
      <c r="L18">
        <v>817</v>
      </c>
      <c r="M18">
        <v>1</v>
      </c>
      <c r="N18">
        <v>1</v>
      </c>
      <c r="O18">
        <v>2</v>
      </c>
      <c r="P18">
        <v>417</v>
      </c>
      <c r="Q18">
        <v>394</v>
      </c>
      <c r="R18">
        <v>2</v>
      </c>
      <c r="S18">
        <v>0</v>
      </c>
      <c r="T18">
        <v>0</v>
      </c>
      <c r="U18">
        <v>444</v>
      </c>
      <c r="V18">
        <v>1433</v>
      </c>
      <c r="W18">
        <v>881</v>
      </c>
      <c r="X18">
        <v>1087</v>
      </c>
      <c r="Y18">
        <v>815120</v>
      </c>
      <c r="Z18">
        <v>3993</v>
      </c>
      <c r="AA18">
        <v>3195</v>
      </c>
      <c r="AB18">
        <v>3607</v>
      </c>
      <c r="AC18">
        <v>10466</v>
      </c>
      <c r="AD18">
        <v>4556</v>
      </c>
      <c r="AE18">
        <v>2262</v>
      </c>
      <c r="AF18">
        <v>6286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5900074</v>
      </c>
      <c r="F19">
        <v>169256</v>
      </c>
      <c r="G19">
        <v>493507</v>
      </c>
      <c r="H19">
        <v>493507</v>
      </c>
      <c r="I19">
        <v>5406567</v>
      </c>
      <c r="J19">
        <v>0</v>
      </c>
      <c r="K19">
        <v>266</v>
      </c>
      <c r="L19">
        <v>266</v>
      </c>
      <c r="M19">
        <v>2</v>
      </c>
      <c r="N19">
        <v>4</v>
      </c>
      <c r="O19">
        <v>5</v>
      </c>
      <c r="P19">
        <v>102</v>
      </c>
      <c r="Q19">
        <v>141</v>
      </c>
      <c r="R19">
        <v>3</v>
      </c>
      <c r="S19">
        <v>9</v>
      </c>
      <c r="T19">
        <v>0</v>
      </c>
      <c r="U19">
        <v>0</v>
      </c>
      <c r="V19">
        <v>1041</v>
      </c>
      <c r="W19">
        <v>1610</v>
      </c>
      <c r="X19">
        <v>946</v>
      </c>
      <c r="Y19">
        <v>449016</v>
      </c>
      <c r="Z19">
        <v>3781</v>
      </c>
      <c r="AA19">
        <v>4261</v>
      </c>
      <c r="AB19">
        <v>2933</v>
      </c>
      <c r="AC19">
        <v>24273</v>
      </c>
      <c r="AD19">
        <v>3700</v>
      </c>
      <c r="AE19">
        <v>1466</v>
      </c>
      <c r="AF19">
        <v>7408</v>
      </c>
    </row>
    <row r="20" spans="1:32" x14ac:dyDescent="0.2">
      <c r="A20" t="s">
        <v>16</v>
      </c>
      <c r="B20" t="s">
        <v>15</v>
      </c>
      <c r="C20" t="s">
        <v>14</v>
      </c>
      <c r="D20">
        <v>9009</v>
      </c>
      <c r="E20">
        <v>5815234</v>
      </c>
      <c r="F20">
        <v>144961</v>
      </c>
      <c r="G20">
        <v>2076141</v>
      </c>
      <c r="H20">
        <v>2076141</v>
      </c>
      <c r="I20">
        <v>3739093</v>
      </c>
      <c r="J20">
        <v>0</v>
      </c>
      <c r="K20">
        <v>419</v>
      </c>
      <c r="L20">
        <v>419</v>
      </c>
      <c r="M20">
        <v>0</v>
      </c>
      <c r="N20">
        <v>36</v>
      </c>
      <c r="O20">
        <v>112</v>
      </c>
      <c r="P20">
        <v>103</v>
      </c>
      <c r="Q20">
        <v>151</v>
      </c>
      <c r="R20">
        <v>16</v>
      </c>
      <c r="S20">
        <v>0</v>
      </c>
      <c r="T20">
        <v>0</v>
      </c>
      <c r="U20">
        <v>0</v>
      </c>
      <c r="V20">
        <v>144507</v>
      </c>
      <c r="W20">
        <v>60779</v>
      </c>
      <c r="X20">
        <v>94946</v>
      </c>
      <c r="Y20">
        <v>508890</v>
      </c>
      <c r="Z20">
        <v>167812</v>
      </c>
      <c r="AA20">
        <v>266065</v>
      </c>
      <c r="AB20">
        <v>334399</v>
      </c>
      <c r="AC20">
        <v>325807</v>
      </c>
      <c r="AD20">
        <v>337992</v>
      </c>
      <c r="AE20">
        <v>185743</v>
      </c>
      <c r="AF20">
        <v>249242</v>
      </c>
    </row>
    <row r="21" spans="1:32" x14ac:dyDescent="0.2">
      <c r="A21" t="s">
        <v>16</v>
      </c>
      <c r="B21" t="s">
        <v>15</v>
      </c>
      <c r="C21" t="s">
        <v>14</v>
      </c>
      <c r="D21">
        <v>9885</v>
      </c>
      <c r="E21">
        <v>5810624</v>
      </c>
      <c r="F21">
        <v>149070</v>
      </c>
      <c r="G21">
        <v>2255937</v>
      </c>
      <c r="H21">
        <v>2255937</v>
      </c>
      <c r="I21">
        <v>3554687</v>
      </c>
      <c r="J21">
        <v>0</v>
      </c>
      <c r="K21">
        <v>23999</v>
      </c>
      <c r="L21">
        <v>23999</v>
      </c>
      <c r="M21">
        <v>1</v>
      </c>
      <c r="N21">
        <v>32</v>
      </c>
      <c r="O21">
        <v>6386</v>
      </c>
      <c r="P21">
        <v>5029</v>
      </c>
      <c r="Q21">
        <v>9327</v>
      </c>
      <c r="R21">
        <v>3220</v>
      </c>
      <c r="S21">
        <v>4</v>
      </c>
      <c r="T21">
        <v>0</v>
      </c>
      <c r="U21">
        <v>0</v>
      </c>
      <c r="V21">
        <v>117964</v>
      </c>
      <c r="W21">
        <v>77886</v>
      </c>
      <c r="X21">
        <v>81102</v>
      </c>
      <c r="Y21">
        <v>531143</v>
      </c>
      <c r="Z21">
        <v>177251</v>
      </c>
      <c r="AA21">
        <v>273736</v>
      </c>
      <c r="AB21">
        <v>280168</v>
      </c>
      <c r="AC21">
        <v>507085</v>
      </c>
      <c r="AD21">
        <v>352627</v>
      </c>
      <c r="AE21">
        <v>154950</v>
      </c>
      <c r="AF21">
        <v>231927</v>
      </c>
    </row>
    <row r="22" spans="1:32" x14ac:dyDescent="0.2">
      <c r="A22" t="s">
        <v>16</v>
      </c>
      <c r="B22" t="s">
        <v>15</v>
      </c>
      <c r="C22" t="s">
        <v>14</v>
      </c>
      <c r="D22" t="s">
        <v>13</v>
      </c>
      <c r="E22">
        <v>14518635</v>
      </c>
      <c r="F22">
        <v>581</v>
      </c>
      <c r="G22">
        <v>103318001</v>
      </c>
      <c r="H22">
        <v>29268747</v>
      </c>
      <c r="I22">
        <v>180447149</v>
      </c>
      <c r="J22">
        <v>6607550</v>
      </c>
      <c r="K22">
        <v>752023</v>
      </c>
      <c r="L22">
        <v>812334</v>
      </c>
      <c r="M22">
        <v>85</v>
      </c>
      <c r="N22">
        <v>136426</v>
      </c>
      <c r="O22">
        <v>84846</v>
      </c>
      <c r="P22">
        <v>241003</v>
      </c>
      <c r="Q22">
        <v>220549</v>
      </c>
      <c r="R22">
        <v>53300</v>
      </c>
      <c r="S22">
        <v>84</v>
      </c>
      <c r="T22">
        <v>76030</v>
      </c>
      <c r="U22">
        <v>74049254</v>
      </c>
      <c r="V22">
        <v>1367350</v>
      </c>
      <c r="W22">
        <v>749410</v>
      </c>
      <c r="X22">
        <v>911563</v>
      </c>
      <c r="Y22">
        <v>9797179</v>
      </c>
      <c r="Z22">
        <v>2124476</v>
      </c>
      <c r="AA22">
        <v>2866170</v>
      </c>
      <c r="AB22">
        <v>3190476</v>
      </c>
      <c r="AC22">
        <v>4950701</v>
      </c>
      <c r="AD22">
        <v>3826100</v>
      </c>
      <c r="AE22">
        <v>1885469</v>
      </c>
      <c r="AF22">
        <v>2843915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6870-41E6-564F-A420-9A45B7742776}">
  <dimension ref="A1:AF22"/>
  <sheetViews>
    <sheetView workbookViewId="0">
      <selection activeCell="K4" activeCellId="3" sqref="E4:E22 G4:G22 I4:I22 K4:L22"/>
    </sheetView>
  </sheetViews>
  <sheetFormatPr baseColWidth="10" defaultRowHeight="16" x14ac:dyDescent="0.2"/>
  <sheetData>
    <row r="1" spans="1:32" x14ac:dyDescent="0.2">
      <c r="A1" t="s">
        <v>45</v>
      </c>
    </row>
    <row r="2" spans="1:32" x14ac:dyDescent="0.2">
      <c r="A2" t="s">
        <v>44</v>
      </c>
    </row>
    <row r="3" spans="1:32" x14ac:dyDescent="0.2">
      <c r="A3" t="s">
        <v>43</v>
      </c>
    </row>
    <row r="4" spans="1:32" x14ac:dyDescent="0.2">
      <c r="A4" t="s">
        <v>16</v>
      </c>
      <c r="B4" t="s">
        <v>42</v>
      </c>
      <c r="C4" t="s">
        <v>41</v>
      </c>
      <c r="D4" t="s">
        <v>40</v>
      </c>
      <c r="E4" t="s">
        <v>5</v>
      </c>
      <c r="F4" t="s">
        <v>39</v>
      </c>
      <c r="G4" t="s">
        <v>6</v>
      </c>
      <c r="H4" t="s">
        <v>38</v>
      </c>
      <c r="I4" t="s">
        <v>7</v>
      </c>
      <c r="J4" t="s">
        <v>37</v>
      </c>
      <c r="K4" t="s">
        <v>8</v>
      </c>
      <c r="L4" t="s">
        <v>9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  <c r="W4" t="s">
        <v>26</v>
      </c>
      <c r="X4" t="s">
        <v>25</v>
      </c>
      <c r="Y4" t="s">
        <v>24</v>
      </c>
      <c r="Z4" t="s">
        <v>23</v>
      </c>
      <c r="AA4" t="s">
        <v>22</v>
      </c>
      <c r="AB4" t="s">
        <v>21</v>
      </c>
      <c r="AC4" t="s">
        <v>20</v>
      </c>
      <c r="AD4" t="s">
        <v>19</v>
      </c>
      <c r="AE4" t="s">
        <v>18</v>
      </c>
      <c r="AF4" t="s">
        <v>17</v>
      </c>
    </row>
    <row r="5" spans="1:32" x14ac:dyDescent="0.2">
      <c r="A5" t="s">
        <v>16</v>
      </c>
      <c r="B5" t="s">
        <v>15</v>
      </c>
      <c r="C5" t="s">
        <v>14</v>
      </c>
      <c r="D5">
        <v>10105</v>
      </c>
      <c r="E5">
        <v>137528</v>
      </c>
      <c r="F5">
        <v>1666</v>
      </c>
      <c r="G5">
        <v>23335</v>
      </c>
      <c r="H5">
        <v>23335</v>
      </c>
      <c r="I5">
        <v>114193</v>
      </c>
      <c r="J5">
        <v>0</v>
      </c>
      <c r="K5">
        <v>12</v>
      </c>
      <c r="L5">
        <v>12</v>
      </c>
      <c r="M5">
        <v>0</v>
      </c>
      <c r="N5">
        <v>0</v>
      </c>
      <c r="O5">
        <v>0</v>
      </c>
      <c r="P5">
        <v>3</v>
      </c>
      <c r="Q5">
        <v>9</v>
      </c>
      <c r="R5">
        <v>0</v>
      </c>
      <c r="S5">
        <v>0</v>
      </c>
      <c r="T5">
        <v>0</v>
      </c>
      <c r="U5">
        <v>0</v>
      </c>
      <c r="V5">
        <v>441</v>
      </c>
      <c r="W5">
        <v>335</v>
      </c>
      <c r="X5">
        <v>304</v>
      </c>
      <c r="Y5">
        <v>14111</v>
      </c>
      <c r="Z5">
        <v>1174</v>
      </c>
      <c r="AA5">
        <v>1111</v>
      </c>
      <c r="AB5">
        <v>1049</v>
      </c>
      <c r="AC5">
        <v>3399</v>
      </c>
      <c r="AD5">
        <v>1568</v>
      </c>
      <c r="AE5">
        <v>615</v>
      </c>
      <c r="AF5">
        <v>1376</v>
      </c>
    </row>
    <row r="6" spans="1:32" x14ac:dyDescent="0.2">
      <c r="A6" t="s">
        <v>16</v>
      </c>
      <c r="B6" t="s">
        <v>15</v>
      </c>
      <c r="C6" t="s">
        <v>14</v>
      </c>
      <c r="D6">
        <v>11123</v>
      </c>
      <c r="E6">
        <v>144645</v>
      </c>
      <c r="F6">
        <v>1553</v>
      </c>
      <c r="G6">
        <v>56310</v>
      </c>
      <c r="H6">
        <v>56310</v>
      </c>
      <c r="I6">
        <v>88335</v>
      </c>
      <c r="J6">
        <v>0</v>
      </c>
      <c r="K6">
        <v>270</v>
      </c>
      <c r="L6">
        <v>270</v>
      </c>
      <c r="M6">
        <v>0</v>
      </c>
      <c r="N6">
        <v>1</v>
      </c>
      <c r="O6">
        <v>87</v>
      </c>
      <c r="P6">
        <v>54</v>
      </c>
      <c r="Q6">
        <v>89</v>
      </c>
      <c r="R6">
        <v>39</v>
      </c>
      <c r="S6">
        <v>0</v>
      </c>
      <c r="T6">
        <v>0</v>
      </c>
      <c r="U6">
        <v>0</v>
      </c>
      <c r="V6">
        <v>3029</v>
      </c>
      <c r="W6">
        <v>1765</v>
      </c>
      <c r="X6">
        <v>2147</v>
      </c>
      <c r="Y6">
        <v>13648</v>
      </c>
      <c r="Z6">
        <v>4259</v>
      </c>
      <c r="AA6">
        <v>6559</v>
      </c>
      <c r="AB6">
        <v>7323</v>
      </c>
      <c r="AC6">
        <v>12072</v>
      </c>
      <c r="AD6">
        <v>8907</v>
      </c>
      <c r="AE6">
        <v>3842</v>
      </c>
      <c r="AF6">
        <v>6371</v>
      </c>
    </row>
    <row r="7" spans="1:32" x14ac:dyDescent="0.2">
      <c r="A7" t="s">
        <v>16</v>
      </c>
      <c r="B7" t="s">
        <v>15</v>
      </c>
      <c r="C7" t="s">
        <v>14</v>
      </c>
      <c r="D7">
        <v>11308</v>
      </c>
      <c r="E7">
        <v>138256</v>
      </c>
      <c r="F7">
        <v>1300</v>
      </c>
      <c r="G7">
        <v>48231</v>
      </c>
      <c r="H7">
        <v>48231</v>
      </c>
      <c r="I7">
        <v>90025</v>
      </c>
      <c r="J7">
        <v>0</v>
      </c>
      <c r="K7">
        <v>278</v>
      </c>
      <c r="L7">
        <v>278</v>
      </c>
      <c r="M7">
        <v>0</v>
      </c>
      <c r="N7">
        <v>0</v>
      </c>
      <c r="O7">
        <v>70</v>
      </c>
      <c r="P7">
        <v>58</v>
      </c>
      <c r="Q7">
        <v>136</v>
      </c>
      <c r="R7">
        <v>14</v>
      </c>
      <c r="S7">
        <v>0</v>
      </c>
      <c r="T7">
        <v>0</v>
      </c>
      <c r="U7">
        <v>0</v>
      </c>
      <c r="V7">
        <v>1664</v>
      </c>
      <c r="W7">
        <v>1131</v>
      </c>
      <c r="X7">
        <v>1126</v>
      </c>
      <c r="Y7">
        <v>13207</v>
      </c>
      <c r="Z7">
        <v>5599</v>
      </c>
      <c r="AA7">
        <v>3926</v>
      </c>
      <c r="AB7">
        <v>3916</v>
      </c>
      <c r="AC7">
        <v>10029</v>
      </c>
      <c r="AD7">
        <v>7870</v>
      </c>
      <c r="AE7">
        <v>2901</v>
      </c>
      <c r="AF7">
        <v>4426</v>
      </c>
    </row>
    <row r="8" spans="1:32" x14ac:dyDescent="0.2">
      <c r="A8" t="s">
        <v>16</v>
      </c>
      <c r="B8" t="s">
        <v>15</v>
      </c>
      <c r="C8" t="s">
        <v>14</v>
      </c>
      <c r="D8">
        <v>15043</v>
      </c>
      <c r="E8">
        <v>152142</v>
      </c>
      <c r="F8">
        <v>458</v>
      </c>
      <c r="G8">
        <v>174347</v>
      </c>
      <c r="H8">
        <v>165465</v>
      </c>
      <c r="I8">
        <v>277512</v>
      </c>
      <c r="J8">
        <v>4567</v>
      </c>
      <c r="K8">
        <v>10981</v>
      </c>
      <c r="L8">
        <v>11000</v>
      </c>
      <c r="M8">
        <v>0</v>
      </c>
      <c r="N8">
        <v>3825</v>
      </c>
      <c r="O8">
        <v>1415</v>
      </c>
      <c r="P8">
        <v>1424</v>
      </c>
      <c r="Q8">
        <v>1429</v>
      </c>
      <c r="R8">
        <v>957</v>
      </c>
      <c r="S8">
        <v>0</v>
      </c>
      <c r="T8">
        <v>1950</v>
      </c>
      <c r="U8">
        <v>8882</v>
      </c>
      <c r="V8">
        <v>10499</v>
      </c>
      <c r="W8">
        <v>5151</v>
      </c>
      <c r="X8">
        <v>6037</v>
      </c>
      <c r="Y8">
        <v>37260</v>
      </c>
      <c r="Z8">
        <v>11220</v>
      </c>
      <c r="AA8">
        <v>20801</v>
      </c>
      <c r="AB8">
        <v>22573</v>
      </c>
      <c r="AC8">
        <v>29160</v>
      </c>
      <c r="AD8">
        <v>24049</v>
      </c>
      <c r="AE8">
        <v>13378</v>
      </c>
      <c r="AF8">
        <v>17711</v>
      </c>
    </row>
    <row r="9" spans="1:32" x14ac:dyDescent="0.2">
      <c r="A9" t="s">
        <v>16</v>
      </c>
      <c r="B9" t="s">
        <v>15</v>
      </c>
      <c r="C9" t="s">
        <v>14</v>
      </c>
      <c r="D9">
        <v>16337</v>
      </c>
      <c r="E9">
        <v>138575</v>
      </c>
      <c r="F9">
        <v>1280</v>
      </c>
      <c r="G9">
        <v>54586</v>
      </c>
      <c r="H9">
        <v>54586</v>
      </c>
      <c r="I9">
        <v>83989</v>
      </c>
      <c r="J9">
        <v>0</v>
      </c>
      <c r="K9">
        <v>207</v>
      </c>
      <c r="L9">
        <v>207</v>
      </c>
      <c r="M9">
        <v>0</v>
      </c>
      <c r="N9">
        <v>0</v>
      </c>
      <c r="O9">
        <v>42</v>
      </c>
      <c r="P9">
        <v>57</v>
      </c>
      <c r="Q9">
        <v>76</v>
      </c>
      <c r="R9">
        <v>32</v>
      </c>
      <c r="S9">
        <v>0</v>
      </c>
      <c r="T9">
        <v>0</v>
      </c>
      <c r="U9">
        <v>0</v>
      </c>
      <c r="V9">
        <v>2755</v>
      </c>
      <c r="W9">
        <v>1428</v>
      </c>
      <c r="X9">
        <v>1997</v>
      </c>
      <c r="Y9">
        <v>13590</v>
      </c>
      <c r="Z9">
        <v>4838</v>
      </c>
      <c r="AA9">
        <v>5611</v>
      </c>
      <c r="AB9">
        <v>6749</v>
      </c>
      <c r="AC9">
        <v>10524</v>
      </c>
      <c r="AD9">
        <v>9246</v>
      </c>
      <c r="AE9">
        <v>4099</v>
      </c>
      <c r="AF9">
        <v>5902</v>
      </c>
    </row>
    <row r="10" spans="1:32" x14ac:dyDescent="0.2">
      <c r="A10" t="s">
        <v>16</v>
      </c>
      <c r="B10" t="s">
        <v>15</v>
      </c>
      <c r="C10" t="s">
        <v>14</v>
      </c>
      <c r="D10">
        <v>16566</v>
      </c>
      <c r="E10">
        <v>140733</v>
      </c>
      <c r="F10">
        <v>623</v>
      </c>
      <c r="G10">
        <v>36476</v>
      </c>
      <c r="H10">
        <v>36457</v>
      </c>
      <c r="I10">
        <v>243087</v>
      </c>
      <c r="J10">
        <v>1903</v>
      </c>
      <c r="K10">
        <v>6411</v>
      </c>
      <c r="L10">
        <v>6412</v>
      </c>
      <c r="M10">
        <v>0</v>
      </c>
      <c r="N10">
        <v>0</v>
      </c>
      <c r="O10">
        <v>0</v>
      </c>
      <c r="P10">
        <v>3573</v>
      </c>
      <c r="Q10">
        <v>2839</v>
      </c>
      <c r="R10">
        <v>0</v>
      </c>
      <c r="S10">
        <v>0</v>
      </c>
      <c r="T10">
        <v>0</v>
      </c>
      <c r="U10">
        <v>19</v>
      </c>
      <c r="V10">
        <v>227</v>
      </c>
      <c r="W10">
        <v>35</v>
      </c>
      <c r="X10">
        <v>42</v>
      </c>
      <c r="Y10">
        <v>26476</v>
      </c>
      <c r="Z10">
        <v>231</v>
      </c>
      <c r="AA10">
        <v>297</v>
      </c>
      <c r="AB10">
        <v>311</v>
      </c>
      <c r="AC10">
        <v>1097</v>
      </c>
      <c r="AD10">
        <v>1010</v>
      </c>
      <c r="AE10">
        <v>397</v>
      </c>
      <c r="AF10">
        <v>530</v>
      </c>
    </row>
    <row r="11" spans="1:32" x14ac:dyDescent="0.2">
      <c r="A11" t="s">
        <v>16</v>
      </c>
      <c r="B11" t="s">
        <v>15</v>
      </c>
      <c r="C11" t="s">
        <v>14</v>
      </c>
      <c r="D11">
        <v>17959</v>
      </c>
      <c r="E11">
        <v>139085</v>
      </c>
      <c r="F11">
        <v>1335</v>
      </c>
      <c r="G11">
        <v>14430</v>
      </c>
      <c r="H11">
        <v>14430</v>
      </c>
      <c r="I11">
        <v>124655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47</v>
      </c>
      <c r="W11">
        <v>29</v>
      </c>
      <c r="X11">
        <v>25</v>
      </c>
      <c r="Y11">
        <v>13214</v>
      </c>
      <c r="Z11">
        <v>184</v>
      </c>
      <c r="AA11">
        <v>105</v>
      </c>
      <c r="AB11">
        <v>97</v>
      </c>
      <c r="AC11">
        <v>492</v>
      </c>
      <c r="AD11">
        <v>199</v>
      </c>
      <c r="AE11">
        <v>91</v>
      </c>
      <c r="AF11">
        <v>149</v>
      </c>
    </row>
    <row r="12" spans="1:32" x14ac:dyDescent="0.2">
      <c r="A12" t="s">
        <v>16</v>
      </c>
      <c r="B12" t="s">
        <v>15</v>
      </c>
      <c r="C12" t="s">
        <v>14</v>
      </c>
      <c r="D12">
        <v>19992</v>
      </c>
      <c r="E12">
        <v>138806</v>
      </c>
      <c r="F12">
        <v>1591</v>
      </c>
      <c r="G12">
        <v>55433</v>
      </c>
      <c r="H12">
        <v>55433</v>
      </c>
      <c r="I12">
        <v>83373</v>
      </c>
      <c r="J12">
        <v>0</v>
      </c>
      <c r="K12">
        <v>2</v>
      </c>
      <c r="L12">
        <v>2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3633</v>
      </c>
      <c r="W12">
        <v>1581</v>
      </c>
      <c r="X12">
        <v>2208</v>
      </c>
      <c r="Y12">
        <v>13643</v>
      </c>
      <c r="Z12">
        <v>4815</v>
      </c>
      <c r="AA12">
        <v>6795</v>
      </c>
      <c r="AB12">
        <v>8049</v>
      </c>
      <c r="AC12">
        <v>9249</v>
      </c>
      <c r="AD12">
        <v>9399</v>
      </c>
      <c r="AE12">
        <v>4423</v>
      </c>
      <c r="AF12">
        <v>6480</v>
      </c>
    </row>
    <row r="13" spans="1:32" x14ac:dyDescent="0.2">
      <c r="A13" t="s">
        <v>16</v>
      </c>
      <c r="B13" t="s">
        <v>15</v>
      </c>
      <c r="C13" t="s">
        <v>14</v>
      </c>
      <c r="D13">
        <v>19997</v>
      </c>
      <c r="E13">
        <v>144416</v>
      </c>
      <c r="F13">
        <v>1719</v>
      </c>
      <c r="G13">
        <v>57573</v>
      </c>
      <c r="H13">
        <v>57573</v>
      </c>
      <c r="I13">
        <v>86843</v>
      </c>
      <c r="J13">
        <v>0</v>
      </c>
      <c r="K13">
        <v>234</v>
      </c>
      <c r="L13">
        <v>234</v>
      </c>
      <c r="M13">
        <v>0</v>
      </c>
      <c r="N13">
        <v>2</v>
      </c>
      <c r="O13">
        <v>66</v>
      </c>
      <c r="P13">
        <v>78</v>
      </c>
      <c r="Q13">
        <v>68</v>
      </c>
      <c r="R13">
        <v>20</v>
      </c>
      <c r="S13">
        <v>0</v>
      </c>
      <c r="T13">
        <v>0</v>
      </c>
      <c r="U13">
        <v>0</v>
      </c>
      <c r="V13">
        <v>2715</v>
      </c>
      <c r="W13">
        <v>1501</v>
      </c>
      <c r="X13">
        <v>1844</v>
      </c>
      <c r="Y13">
        <v>14182</v>
      </c>
      <c r="Z13">
        <v>6299</v>
      </c>
      <c r="AA13">
        <v>5717</v>
      </c>
      <c r="AB13">
        <v>6403</v>
      </c>
      <c r="AC13">
        <v>11122</v>
      </c>
      <c r="AD13">
        <v>9350</v>
      </c>
      <c r="AE13">
        <v>4093</v>
      </c>
      <c r="AF13">
        <v>6233</v>
      </c>
    </row>
    <row r="14" spans="1:32" x14ac:dyDescent="0.2">
      <c r="A14" t="s">
        <v>16</v>
      </c>
      <c r="B14" t="s">
        <v>15</v>
      </c>
      <c r="C14" t="s">
        <v>14</v>
      </c>
      <c r="D14">
        <v>20003</v>
      </c>
      <c r="E14">
        <v>0</v>
      </c>
      <c r="F14">
        <v>103539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16</v>
      </c>
      <c r="B15" t="s">
        <v>15</v>
      </c>
      <c r="C15" t="s">
        <v>14</v>
      </c>
      <c r="D15">
        <v>2357</v>
      </c>
      <c r="E15">
        <v>138637</v>
      </c>
      <c r="F15">
        <v>1563</v>
      </c>
      <c r="G15">
        <v>55427</v>
      </c>
      <c r="H15">
        <v>55427</v>
      </c>
      <c r="I15">
        <v>83210</v>
      </c>
      <c r="J15">
        <v>0</v>
      </c>
      <c r="K15">
        <v>133</v>
      </c>
      <c r="L15">
        <v>133</v>
      </c>
      <c r="M15">
        <v>0</v>
      </c>
      <c r="N15">
        <v>2</v>
      </c>
      <c r="O15">
        <v>35</v>
      </c>
      <c r="P15">
        <v>37</v>
      </c>
      <c r="Q15">
        <v>40</v>
      </c>
      <c r="R15">
        <v>19</v>
      </c>
      <c r="S15">
        <v>0</v>
      </c>
      <c r="T15">
        <v>0</v>
      </c>
      <c r="U15">
        <v>0</v>
      </c>
      <c r="V15">
        <v>3568</v>
      </c>
      <c r="W15">
        <v>1581</v>
      </c>
      <c r="X15">
        <v>2404</v>
      </c>
      <c r="Y15">
        <v>13495</v>
      </c>
      <c r="Z15">
        <v>4262</v>
      </c>
      <c r="AA15">
        <v>6730</v>
      </c>
      <c r="AB15">
        <v>8376</v>
      </c>
      <c r="AC15">
        <v>9788</v>
      </c>
      <c r="AD15">
        <v>9225</v>
      </c>
      <c r="AE15">
        <v>4745</v>
      </c>
      <c r="AF15">
        <v>6226</v>
      </c>
    </row>
    <row r="16" spans="1:32" x14ac:dyDescent="0.2">
      <c r="A16" t="s">
        <v>16</v>
      </c>
      <c r="B16" t="s">
        <v>15</v>
      </c>
      <c r="C16" t="s">
        <v>14</v>
      </c>
      <c r="D16">
        <v>6188</v>
      </c>
      <c r="E16">
        <v>138386</v>
      </c>
      <c r="F16">
        <v>1554</v>
      </c>
      <c r="G16">
        <v>53184</v>
      </c>
      <c r="H16">
        <v>53184</v>
      </c>
      <c r="I16">
        <v>85202</v>
      </c>
      <c r="J16">
        <v>0</v>
      </c>
      <c r="K16">
        <v>7</v>
      </c>
      <c r="L16">
        <v>7</v>
      </c>
      <c r="M16">
        <v>0</v>
      </c>
      <c r="N16">
        <v>1</v>
      </c>
      <c r="O16">
        <v>3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2186</v>
      </c>
      <c r="W16">
        <v>2032</v>
      </c>
      <c r="X16">
        <v>2003</v>
      </c>
      <c r="Y16">
        <v>13379</v>
      </c>
      <c r="Z16">
        <v>3426</v>
      </c>
      <c r="AA16">
        <v>6250</v>
      </c>
      <c r="AB16">
        <v>6192</v>
      </c>
      <c r="AC16">
        <v>13529</v>
      </c>
      <c r="AD16">
        <v>7305</v>
      </c>
      <c r="AE16">
        <v>3107</v>
      </c>
      <c r="AF16">
        <v>6210</v>
      </c>
    </row>
    <row r="17" spans="1:32" x14ac:dyDescent="0.2">
      <c r="A17" t="s">
        <v>16</v>
      </c>
      <c r="B17" t="s">
        <v>15</v>
      </c>
      <c r="C17" t="s">
        <v>14</v>
      </c>
      <c r="D17">
        <v>6815</v>
      </c>
      <c r="E17">
        <v>138299</v>
      </c>
      <c r="F17">
        <v>1646</v>
      </c>
      <c r="G17">
        <v>13513</v>
      </c>
      <c r="H17">
        <v>13513</v>
      </c>
      <c r="I17">
        <v>124786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</v>
      </c>
      <c r="W17">
        <v>32</v>
      </c>
      <c r="X17">
        <v>23</v>
      </c>
      <c r="Y17">
        <v>12459</v>
      </c>
      <c r="Z17">
        <v>188</v>
      </c>
      <c r="AA17">
        <v>91</v>
      </c>
      <c r="AB17">
        <v>73</v>
      </c>
      <c r="AC17">
        <v>419</v>
      </c>
      <c r="AD17">
        <v>147</v>
      </c>
      <c r="AE17">
        <v>53</v>
      </c>
      <c r="AF17">
        <v>165</v>
      </c>
    </row>
    <row r="18" spans="1:32" x14ac:dyDescent="0.2">
      <c r="A18" t="s">
        <v>16</v>
      </c>
      <c r="B18" t="s">
        <v>15</v>
      </c>
      <c r="C18" t="s">
        <v>14</v>
      </c>
      <c r="D18">
        <v>8037</v>
      </c>
      <c r="E18">
        <v>140098</v>
      </c>
      <c r="F18">
        <v>1302</v>
      </c>
      <c r="G18">
        <v>22373</v>
      </c>
      <c r="H18">
        <v>22369</v>
      </c>
      <c r="I18">
        <v>254330</v>
      </c>
      <c r="J18">
        <v>3493</v>
      </c>
      <c r="K18">
        <v>7</v>
      </c>
      <c r="L18">
        <v>7</v>
      </c>
      <c r="M18">
        <v>0</v>
      </c>
      <c r="N18">
        <v>0</v>
      </c>
      <c r="O18">
        <v>0</v>
      </c>
      <c r="P18">
        <v>4</v>
      </c>
      <c r="Q18">
        <v>3</v>
      </c>
      <c r="R18">
        <v>0</v>
      </c>
      <c r="S18">
        <v>0</v>
      </c>
      <c r="T18">
        <v>0</v>
      </c>
      <c r="U18">
        <v>4</v>
      </c>
      <c r="V18">
        <v>38</v>
      </c>
      <c r="W18">
        <v>24</v>
      </c>
      <c r="X18">
        <v>27</v>
      </c>
      <c r="Y18">
        <v>21669</v>
      </c>
      <c r="Z18">
        <v>75</v>
      </c>
      <c r="AA18">
        <v>86</v>
      </c>
      <c r="AB18">
        <v>92</v>
      </c>
      <c r="AC18">
        <v>225</v>
      </c>
      <c r="AD18">
        <v>115</v>
      </c>
      <c r="AE18">
        <v>46</v>
      </c>
      <c r="AF18">
        <v>143</v>
      </c>
    </row>
    <row r="19" spans="1:32" x14ac:dyDescent="0.2">
      <c r="A19" t="s">
        <v>16</v>
      </c>
      <c r="B19" t="s">
        <v>15</v>
      </c>
      <c r="C19" t="s">
        <v>14</v>
      </c>
      <c r="D19">
        <v>8600</v>
      </c>
      <c r="E19">
        <v>141888</v>
      </c>
      <c r="F19">
        <v>2304</v>
      </c>
      <c r="G19">
        <v>12495</v>
      </c>
      <c r="H19">
        <v>12495</v>
      </c>
      <c r="I19">
        <v>129393</v>
      </c>
      <c r="J19">
        <v>0</v>
      </c>
      <c r="K19">
        <v>6</v>
      </c>
      <c r="L19">
        <v>6</v>
      </c>
      <c r="M19">
        <v>0</v>
      </c>
      <c r="N19">
        <v>0</v>
      </c>
      <c r="O19">
        <v>0</v>
      </c>
      <c r="P19">
        <v>4</v>
      </c>
      <c r="Q19">
        <v>2</v>
      </c>
      <c r="R19">
        <v>0</v>
      </c>
      <c r="S19">
        <v>0</v>
      </c>
      <c r="T19">
        <v>0</v>
      </c>
      <c r="U19">
        <v>0</v>
      </c>
      <c r="V19">
        <v>21</v>
      </c>
      <c r="W19">
        <v>33</v>
      </c>
      <c r="X19">
        <v>21</v>
      </c>
      <c r="Y19">
        <v>11543</v>
      </c>
      <c r="Z19">
        <v>88</v>
      </c>
      <c r="AA19">
        <v>87</v>
      </c>
      <c r="AB19">
        <v>63</v>
      </c>
      <c r="AC19">
        <v>480</v>
      </c>
      <c r="AD19">
        <v>96</v>
      </c>
      <c r="AE19">
        <v>23</v>
      </c>
      <c r="AF19">
        <v>184</v>
      </c>
    </row>
    <row r="20" spans="1:32" x14ac:dyDescent="0.2">
      <c r="A20" t="s">
        <v>16</v>
      </c>
      <c r="B20" t="s">
        <v>15</v>
      </c>
      <c r="C20" t="s">
        <v>14</v>
      </c>
      <c r="D20">
        <v>9009</v>
      </c>
      <c r="E20">
        <v>138615</v>
      </c>
      <c r="F20">
        <v>1576</v>
      </c>
      <c r="G20">
        <v>54320</v>
      </c>
      <c r="H20">
        <v>54320</v>
      </c>
      <c r="I20">
        <v>84295</v>
      </c>
      <c r="J20">
        <v>0</v>
      </c>
      <c r="K20">
        <v>6</v>
      </c>
      <c r="L20">
        <v>6</v>
      </c>
      <c r="M20">
        <v>0</v>
      </c>
      <c r="N20">
        <v>1</v>
      </c>
      <c r="O20">
        <v>2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3664</v>
      </c>
      <c r="W20">
        <v>1670</v>
      </c>
      <c r="X20">
        <v>2348</v>
      </c>
      <c r="Y20">
        <v>13306</v>
      </c>
      <c r="Z20">
        <v>4397</v>
      </c>
      <c r="AA20">
        <v>7004</v>
      </c>
      <c r="AB20">
        <v>8360</v>
      </c>
      <c r="AC20">
        <v>8766</v>
      </c>
      <c r="AD20">
        <v>8970</v>
      </c>
      <c r="AE20">
        <v>4906</v>
      </c>
      <c r="AF20">
        <v>6287</v>
      </c>
    </row>
    <row r="21" spans="1:32" x14ac:dyDescent="0.2">
      <c r="A21" t="s">
        <v>16</v>
      </c>
      <c r="B21" t="s">
        <v>15</v>
      </c>
      <c r="C21" t="s">
        <v>14</v>
      </c>
      <c r="D21">
        <v>9885</v>
      </c>
      <c r="E21">
        <v>139440</v>
      </c>
      <c r="F21">
        <v>1487</v>
      </c>
      <c r="G21">
        <v>61195</v>
      </c>
      <c r="H21">
        <v>61195</v>
      </c>
      <c r="I21">
        <v>78245</v>
      </c>
      <c r="J21">
        <v>0</v>
      </c>
      <c r="K21">
        <v>300</v>
      </c>
      <c r="L21">
        <v>300</v>
      </c>
      <c r="M21">
        <v>0</v>
      </c>
      <c r="N21">
        <v>0</v>
      </c>
      <c r="O21">
        <v>58</v>
      </c>
      <c r="P21">
        <v>70</v>
      </c>
      <c r="Q21">
        <v>118</v>
      </c>
      <c r="R21">
        <v>54</v>
      </c>
      <c r="S21">
        <v>0</v>
      </c>
      <c r="T21">
        <v>0</v>
      </c>
      <c r="U21">
        <v>0</v>
      </c>
      <c r="V21">
        <v>3301</v>
      </c>
      <c r="W21">
        <v>2147</v>
      </c>
      <c r="X21">
        <v>2116</v>
      </c>
      <c r="Y21">
        <v>13818</v>
      </c>
      <c r="Z21">
        <v>4997</v>
      </c>
      <c r="AA21">
        <v>7595</v>
      </c>
      <c r="AB21">
        <v>7533</v>
      </c>
      <c r="AC21">
        <v>13713</v>
      </c>
      <c r="AD21">
        <v>10264</v>
      </c>
      <c r="AE21">
        <v>4396</v>
      </c>
      <c r="AF21">
        <v>6143</v>
      </c>
    </row>
    <row r="22" spans="1:32" x14ac:dyDescent="0.2">
      <c r="A22" t="s">
        <v>16</v>
      </c>
      <c r="B22" t="s">
        <v>15</v>
      </c>
      <c r="C22" t="s">
        <v>14</v>
      </c>
      <c r="D22" t="s">
        <v>13</v>
      </c>
      <c r="E22">
        <v>372708</v>
      </c>
      <c r="F22">
        <v>6</v>
      </c>
      <c r="G22">
        <v>2870932</v>
      </c>
      <c r="H22">
        <v>775463</v>
      </c>
      <c r="I22">
        <v>4514430</v>
      </c>
      <c r="J22">
        <v>68798</v>
      </c>
      <c r="K22">
        <v>17734</v>
      </c>
      <c r="L22">
        <v>18712</v>
      </c>
      <c r="M22">
        <v>0</v>
      </c>
      <c r="N22">
        <v>3786</v>
      </c>
      <c r="O22">
        <v>1759</v>
      </c>
      <c r="P22">
        <v>5335</v>
      </c>
      <c r="Q22">
        <v>4772</v>
      </c>
      <c r="R22">
        <v>1126</v>
      </c>
      <c r="S22">
        <v>0</v>
      </c>
      <c r="T22">
        <v>1934</v>
      </c>
      <c r="U22">
        <v>2095469</v>
      </c>
      <c r="V22">
        <v>37182</v>
      </c>
      <c r="W22">
        <v>20174</v>
      </c>
      <c r="X22">
        <v>24384</v>
      </c>
      <c r="Y22">
        <v>257013</v>
      </c>
      <c r="Z22">
        <v>55454</v>
      </c>
      <c r="AA22">
        <v>77530</v>
      </c>
      <c r="AB22">
        <v>85950</v>
      </c>
      <c r="AC22">
        <v>132118</v>
      </c>
      <c r="AD22">
        <v>106114</v>
      </c>
      <c r="AE22">
        <v>50469</v>
      </c>
      <c r="AF22">
        <v>73838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combined_fixed</vt:lpstr>
      <vt:lpstr>grch38_linear.MVs.byFamily.fixe</vt:lpstr>
      <vt:lpstr>grch38_linear.MVs.exons.fix</vt:lpstr>
      <vt:lpstr>chm13_linear.MVs.byFamily.fixed</vt:lpstr>
      <vt:lpstr>chm13_linear.MVs.exons.fixed</vt:lpstr>
      <vt:lpstr>combined</vt:lpstr>
      <vt:lpstr>grch38_dv_glnexus.MVs.byFamily</vt:lpstr>
      <vt:lpstr>grch38_linear.MVs.exons.byFamil</vt:lpstr>
      <vt:lpstr>chm13_dv_glnexus.MVs.byFamily</vt:lpstr>
      <vt:lpstr>chm13_linear.MVs.exons.byFamily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Folland</dc:creator>
  <cp:lastModifiedBy>Chiara Folland</cp:lastModifiedBy>
  <dcterms:created xsi:type="dcterms:W3CDTF">2025-07-14T06:19:13Z</dcterms:created>
  <dcterms:modified xsi:type="dcterms:W3CDTF">2025-11-05T04:51:11Z</dcterms:modified>
</cp:coreProperties>
</file>