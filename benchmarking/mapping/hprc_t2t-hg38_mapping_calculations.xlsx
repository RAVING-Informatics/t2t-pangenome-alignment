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00104561_uwa_edu_au/Documents/Research/Projects/AIM1_DATA-REANALYSIS/benchmark/mapping/analysis/"/>
    </mc:Choice>
  </mc:AlternateContent>
  <xr:revisionPtr revIDLastSave="0" documentId="8_{94BD8B75-CBCB-C242-8105-281A969EB049}" xr6:coauthVersionLast="47" xr6:coauthVersionMax="47" xr10:uidLastSave="{00000000-0000-0000-0000-000000000000}"/>
  <bookViews>
    <workbookView xWindow="47460" yWindow="4360" windowWidth="26840" windowHeight="15940" xr2:uid="{E802E1B7-FD3C-9D49-A736-A9537637A3DC}"/>
  </bookViews>
  <sheets>
    <sheet name="samtools-combined-filter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80" i="1" l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BX77" i="1" s="1"/>
  <c r="H77" i="1"/>
  <c r="G77" i="1"/>
  <c r="F77" i="1"/>
  <c r="E77" i="1"/>
  <c r="D77" i="1"/>
  <c r="C77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BX76" i="1" s="1"/>
  <c r="H76" i="1"/>
  <c r="G76" i="1"/>
  <c r="F76" i="1"/>
  <c r="E76" i="1"/>
  <c r="D76" i="1"/>
  <c r="C76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BX74" i="1" s="1"/>
  <c r="H74" i="1"/>
  <c r="G74" i="1"/>
  <c r="F74" i="1"/>
  <c r="E74" i="1"/>
  <c r="D74" i="1"/>
  <c r="C74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BX73" i="1" s="1"/>
  <c r="BY65" i="1" s="1"/>
  <c r="H73" i="1"/>
  <c r="G73" i="1"/>
  <c r="F73" i="1"/>
  <c r="E73" i="1"/>
  <c r="D73" i="1"/>
  <c r="C73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BX71" i="1" s="1"/>
  <c r="H71" i="1"/>
  <c r="G71" i="1"/>
  <c r="F71" i="1"/>
  <c r="E71" i="1"/>
  <c r="D71" i="1"/>
  <c r="C71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BX70" i="1" s="1"/>
  <c r="H70" i="1"/>
  <c r="G70" i="1"/>
  <c r="F70" i="1"/>
  <c r="E70" i="1"/>
  <c r="D70" i="1"/>
  <c r="C70" i="1"/>
  <c r="CH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CH68" i="1"/>
  <c r="BX67" i="1"/>
  <c r="CH66" i="1"/>
  <c r="BX66" i="1"/>
  <c r="CH65" i="1"/>
  <c r="BX65" i="1"/>
  <c r="BW64" i="1"/>
  <c r="BW80" i="1" s="1"/>
  <c r="BV64" i="1"/>
  <c r="BV80" i="1" s="1"/>
  <c r="BU64" i="1"/>
  <c r="BU80" i="1" s="1"/>
  <c r="BT64" i="1"/>
  <c r="BT80" i="1" s="1"/>
  <c r="BS64" i="1"/>
  <c r="BS80" i="1" s="1"/>
  <c r="BR64" i="1"/>
  <c r="BR80" i="1" s="1"/>
  <c r="BQ64" i="1"/>
  <c r="BP64" i="1"/>
  <c r="BP80" i="1" s="1"/>
  <c r="BO64" i="1"/>
  <c r="BO80" i="1" s="1"/>
  <c r="BN64" i="1"/>
  <c r="BN80" i="1" s="1"/>
  <c r="BM64" i="1"/>
  <c r="BM80" i="1" s="1"/>
  <c r="BL64" i="1"/>
  <c r="BL80" i="1" s="1"/>
  <c r="BK64" i="1"/>
  <c r="BK80" i="1" s="1"/>
  <c r="BJ64" i="1"/>
  <c r="BJ80" i="1" s="1"/>
  <c r="BI64" i="1"/>
  <c r="BI80" i="1" s="1"/>
  <c r="BH64" i="1"/>
  <c r="BH80" i="1" s="1"/>
  <c r="BG64" i="1"/>
  <c r="BG80" i="1" s="1"/>
  <c r="BF64" i="1"/>
  <c r="BF80" i="1" s="1"/>
  <c r="BE64" i="1"/>
  <c r="BE80" i="1" s="1"/>
  <c r="BD64" i="1"/>
  <c r="BD80" i="1" s="1"/>
  <c r="BC64" i="1"/>
  <c r="BC80" i="1" s="1"/>
  <c r="BB64" i="1"/>
  <c r="BB80" i="1" s="1"/>
  <c r="BA64" i="1"/>
  <c r="BA80" i="1" s="1"/>
  <c r="AZ64" i="1"/>
  <c r="AZ80" i="1" s="1"/>
  <c r="AY64" i="1"/>
  <c r="AY80" i="1" s="1"/>
  <c r="AX64" i="1"/>
  <c r="AX80" i="1" s="1"/>
  <c r="AW64" i="1"/>
  <c r="AW80" i="1" s="1"/>
  <c r="AV64" i="1"/>
  <c r="AV80" i="1" s="1"/>
  <c r="AU64" i="1"/>
  <c r="AU80" i="1" s="1"/>
  <c r="AT64" i="1"/>
  <c r="AT80" i="1" s="1"/>
  <c r="AS64" i="1"/>
  <c r="AS80" i="1" s="1"/>
  <c r="AR64" i="1"/>
  <c r="AR80" i="1" s="1"/>
  <c r="AQ64" i="1"/>
  <c r="AQ80" i="1" s="1"/>
  <c r="AP64" i="1"/>
  <c r="AP80" i="1" s="1"/>
  <c r="AO64" i="1"/>
  <c r="AO80" i="1" s="1"/>
  <c r="AN64" i="1"/>
  <c r="AN80" i="1" s="1"/>
  <c r="AM64" i="1"/>
  <c r="AM80" i="1" s="1"/>
  <c r="AL64" i="1"/>
  <c r="AL80" i="1" s="1"/>
  <c r="AK64" i="1"/>
  <c r="AK80" i="1" s="1"/>
  <c r="AJ64" i="1"/>
  <c r="AJ80" i="1" s="1"/>
  <c r="AI64" i="1"/>
  <c r="AI80" i="1" s="1"/>
  <c r="AH64" i="1"/>
  <c r="AH80" i="1" s="1"/>
  <c r="AG64" i="1"/>
  <c r="AG80" i="1" s="1"/>
  <c r="AF64" i="1"/>
  <c r="AF80" i="1" s="1"/>
  <c r="AE64" i="1"/>
  <c r="AE80" i="1" s="1"/>
  <c r="AD64" i="1"/>
  <c r="AD80" i="1" s="1"/>
  <c r="AC64" i="1"/>
  <c r="AC80" i="1" s="1"/>
  <c r="AB64" i="1"/>
  <c r="AB80" i="1" s="1"/>
  <c r="AA64" i="1"/>
  <c r="AA80" i="1" s="1"/>
  <c r="Z64" i="1"/>
  <c r="Z80" i="1" s="1"/>
  <c r="Y64" i="1"/>
  <c r="Y80" i="1" s="1"/>
  <c r="X64" i="1"/>
  <c r="X80" i="1" s="1"/>
  <c r="W64" i="1"/>
  <c r="W80" i="1" s="1"/>
  <c r="V64" i="1"/>
  <c r="V80" i="1" s="1"/>
  <c r="U64" i="1"/>
  <c r="U80" i="1" s="1"/>
  <c r="T64" i="1"/>
  <c r="T80" i="1" s="1"/>
  <c r="S64" i="1"/>
  <c r="S80" i="1" s="1"/>
  <c r="R64" i="1"/>
  <c r="R80" i="1" s="1"/>
  <c r="Q64" i="1"/>
  <c r="Q80" i="1" s="1"/>
  <c r="P64" i="1"/>
  <c r="P80" i="1" s="1"/>
  <c r="O64" i="1"/>
  <c r="O80" i="1" s="1"/>
  <c r="N64" i="1"/>
  <c r="N80" i="1" s="1"/>
  <c r="M64" i="1"/>
  <c r="M80" i="1" s="1"/>
  <c r="L64" i="1"/>
  <c r="L80" i="1" s="1"/>
  <c r="K64" i="1"/>
  <c r="K80" i="1" s="1"/>
  <c r="J64" i="1"/>
  <c r="J80" i="1" s="1"/>
  <c r="I64" i="1"/>
  <c r="I80" i="1" s="1"/>
  <c r="H64" i="1"/>
  <c r="H80" i="1" s="1"/>
  <c r="G64" i="1"/>
  <c r="G80" i="1" s="1"/>
  <c r="F64" i="1"/>
  <c r="F80" i="1" s="1"/>
  <c r="E64" i="1"/>
  <c r="E80" i="1" s="1"/>
  <c r="D64" i="1"/>
  <c r="D80" i="1" s="1"/>
  <c r="C64" i="1"/>
  <c r="BX64" i="1" s="1"/>
  <c r="CH63" i="1"/>
  <c r="CH62" i="1"/>
  <c r="CH61" i="1"/>
  <c r="BX61" i="1"/>
  <c r="BX60" i="1"/>
  <c r="BX59" i="1"/>
  <c r="BW58" i="1"/>
  <c r="BW79" i="1" s="1"/>
  <c r="BV58" i="1"/>
  <c r="BV79" i="1" s="1"/>
  <c r="BU58" i="1"/>
  <c r="BU79" i="1" s="1"/>
  <c r="BT58" i="1"/>
  <c r="BT79" i="1" s="1"/>
  <c r="BS58" i="1"/>
  <c r="BS79" i="1" s="1"/>
  <c r="BR58" i="1"/>
  <c r="BR79" i="1" s="1"/>
  <c r="BQ58" i="1"/>
  <c r="BQ79" i="1" s="1"/>
  <c r="BP58" i="1"/>
  <c r="BP79" i="1" s="1"/>
  <c r="BO58" i="1"/>
  <c r="BO79" i="1" s="1"/>
  <c r="BN58" i="1"/>
  <c r="BN79" i="1" s="1"/>
  <c r="BM58" i="1"/>
  <c r="BM79" i="1" s="1"/>
  <c r="BL58" i="1"/>
  <c r="BL79" i="1" s="1"/>
  <c r="BK58" i="1"/>
  <c r="BK79" i="1" s="1"/>
  <c r="BJ58" i="1"/>
  <c r="BJ79" i="1" s="1"/>
  <c r="BI58" i="1"/>
  <c r="BI79" i="1" s="1"/>
  <c r="BH58" i="1"/>
  <c r="BH79" i="1" s="1"/>
  <c r="BG58" i="1"/>
  <c r="BG79" i="1" s="1"/>
  <c r="BF58" i="1"/>
  <c r="BF79" i="1" s="1"/>
  <c r="BE58" i="1"/>
  <c r="BE79" i="1" s="1"/>
  <c r="BD58" i="1"/>
  <c r="BD79" i="1" s="1"/>
  <c r="BC58" i="1"/>
  <c r="BC79" i="1" s="1"/>
  <c r="BB58" i="1"/>
  <c r="BB79" i="1" s="1"/>
  <c r="BA58" i="1"/>
  <c r="BA79" i="1" s="1"/>
  <c r="AZ58" i="1"/>
  <c r="AZ79" i="1" s="1"/>
  <c r="AY58" i="1"/>
  <c r="AY79" i="1" s="1"/>
  <c r="AX58" i="1"/>
  <c r="AX79" i="1" s="1"/>
  <c r="AW58" i="1"/>
  <c r="AW79" i="1" s="1"/>
  <c r="AV58" i="1"/>
  <c r="AV79" i="1" s="1"/>
  <c r="AU58" i="1"/>
  <c r="AU79" i="1" s="1"/>
  <c r="AT58" i="1"/>
  <c r="AT79" i="1" s="1"/>
  <c r="AS58" i="1"/>
  <c r="AS79" i="1" s="1"/>
  <c r="AR58" i="1"/>
  <c r="AR79" i="1" s="1"/>
  <c r="AQ58" i="1"/>
  <c r="AQ79" i="1" s="1"/>
  <c r="AP58" i="1"/>
  <c r="AP79" i="1" s="1"/>
  <c r="AO58" i="1"/>
  <c r="AO79" i="1" s="1"/>
  <c r="AN58" i="1"/>
  <c r="AN79" i="1" s="1"/>
  <c r="AM58" i="1"/>
  <c r="AM79" i="1" s="1"/>
  <c r="AL58" i="1"/>
  <c r="AL79" i="1" s="1"/>
  <c r="AK58" i="1"/>
  <c r="AK79" i="1" s="1"/>
  <c r="AJ58" i="1"/>
  <c r="AJ79" i="1" s="1"/>
  <c r="AI58" i="1"/>
  <c r="AI79" i="1" s="1"/>
  <c r="AH58" i="1"/>
  <c r="AH79" i="1" s="1"/>
  <c r="AG58" i="1"/>
  <c r="AG79" i="1" s="1"/>
  <c r="AF58" i="1"/>
  <c r="AF79" i="1" s="1"/>
  <c r="AE58" i="1"/>
  <c r="AE79" i="1" s="1"/>
  <c r="AD58" i="1"/>
  <c r="AD79" i="1" s="1"/>
  <c r="AC58" i="1"/>
  <c r="AC79" i="1" s="1"/>
  <c r="AB58" i="1"/>
  <c r="AB79" i="1" s="1"/>
  <c r="AA58" i="1"/>
  <c r="AA79" i="1" s="1"/>
  <c r="Z58" i="1"/>
  <c r="Z79" i="1" s="1"/>
  <c r="Y58" i="1"/>
  <c r="Y79" i="1" s="1"/>
  <c r="X58" i="1"/>
  <c r="X79" i="1" s="1"/>
  <c r="W58" i="1"/>
  <c r="W79" i="1" s="1"/>
  <c r="V58" i="1"/>
  <c r="V79" i="1" s="1"/>
  <c r="U58" i="1"/>
  <c r="U79" i="1" s="1"/>
  <c r="T58" i="1"/>
  <c r="T79" i="1" s="1"/>
  <c r="S58" i="1"/>
  <c r="S79" i="1" s="1"/>
  <c r="R58" i="1"/>
  <c r="R79" i="1" s="1"/>
  <c r="Q58" i="1"/>
  <c r="Q79" i="1" s="1"/>
  <c r="P58" i="1"/>
  <c r="P79" i="1" s="1"/>
  <c r="O58" i="1"/>
  <c r="O79" i="1" s="1"/>
  <c r="N58" i="1"/>
  <c r="N79" i="1" s="1"/>
  <c r="M58" i="1"/>
  <c r="M79" i="1" s="1"/>
  <c r="L58" i="1"/>
  <c r="L79" i="1" s="1"/>
  <c r="K58" i="1"/>
  <c r="K79" i="1" s="1"/>
  <c r="J58" i="1"/>
  <c r="J79" i="1" s="1"/>
  <c r="I58" i="1"/>
  <c r="I79" i="1" s="1"/>
  <c r="H58" i="1"/>
  <c r="H79" i="1" s="1"/>
  <c r="G58" i="1"/>
  <c r="G79" i="1" s="1"/>
  <c r="F58" i="1"/>
  <c r="F79" i="1" s="1"/>
  <c r="E58" i="1"/>
  <c r="E79" i="1" s="1"/>
  <c r="D58" i="1"/>
  <c r="D79" i="1" s="1"/>
  <c r="C58" i="1"/>
  <c r="BX58" i="1" s="1"/>
  <c r="CH56" i="1"/>
  <c r="CH72" i="1" s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X52" i="1" s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BX51" i="1" s="1"/>
  <c r="C51" i="1"/>
  <c r="CH50" i="1"/>
  <c r="CH71" i="1" s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X50" i="1" s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X49" i="1" s="1"/>
  <c r="CH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BX46" i="1" s="1"/>
  <c r="C46" i="1"/>
  <c r="BX45" i="1"/>
  <c r="BX44" i="1"/>
  <c r="BY44" i="1" s="1"/>
  <c r="CH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X42" i="1" s="1"/>
  <c r="CH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X41" i="1" s="1"/>
  <c r="CH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X39" i="1" s="1"/>
  <c r="CH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BX38" i="1" s="1"/>
  <c r="BY38" i="1" s="1"/>
  <c r="C38" i="1"/>
  <c r="CH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X36" i="1" s="1"/>
  <c r="CH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BX35" i="1" s="1"/>
  <c r="BY35" i="1" s="1"/>
  <c r="C35" i="1"/>
  <c r="CH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X32" i="1"/>
  <c r="BX31" i="1"/>
  <c r="BX30" i="1"/>
  <c r="BX29" i="1"/>
  <c r="BX28" i="1"/>
  <c r="BX27" i="1"/>
  <c r="BX26" i="1"/>
  <c r="BX25" i="1"/>
  <c r="BX24" i="1"/>
  <c r="BX23" i="1"/>
  <c r="BX21" i="1"/>
  <c r="BX20" i="1"/>
  <c r="BX19" i="1"/>
  <c r="BX16" i="1"/>
  <c r="BX15" i="1"/>
  <c r="BX14" i="1"/>
  <c r="BX13" i="1"/>
  <c r="BX12" i="1"/>
  <c r="BX11" i="1"/>
  <c r="BX10" i="1"/>
  <c r="BX9" i="1"/>
  <c r="BX8" i="1"/>
  <c r="BX7" i="1"/>
  <c r="BX5" i="1"/>
  <c r="BX4" i="1"/>
  <c r="BX3" i="1"/>
  <c r="BZ38" i="1" l="1"/>
  <c r="BZ35" i="1"/>
  <c r="BZ44" i="1"/>
  <c r="BZ65" i="1"/>
  <c r="BZ62" i="1"/>
  <c r="BY41" i="1"/>
  <c r="BZ41" i="1" s="1"/>
  <c r="BY68" i="1"/>
  <c r="BZ68" i="1" s="1"/>
  <c r="BX80" i="1"/>
  <c r="BX79" i="1"/>
  <c r="BY71" i="1" s="1"/>
  <c r="BZ71" i="1" s="1"/>
  <c r="BY62" i="1"/>
  <c r="C79" i="1"/>
  <c r="C80" i="1"/>
</calcChain>
</file>

<file path=xl/sharedStrings.xml><?xml version="1.0" encoding="utf-8"?>
<sst xmlns="http://schemas.openxmlformats.org/spreadsheetml/2006/main" count="426" uniqueCount="145">
  <si>
    <t>T2T-CHM13</t>
  </si>
  <si>
    <t>D number</t>
  </si>
  <si>
    <t>D09-468</t>
  </si>
  <si>
    <t>D12-880</t>
  </si>
  <si>
    <t>D12-881</t>
  </si>
  <si>
    <t>D12-928</t>
  </si>
  <si>
    <t>D13-708</t>
  </si>
  <si>
    <t>D13-944</t>
  </si>
  <si>
    <t>D14-0589</t>
  </si>
  <si>
    <t>D15-0055</t>
  </si>
  <si>
    <t>D15-1048</t>
  </si>
  <si>
    <t>D15-1050</t>
  </si>
  <si>
    <t>D15-1762</t>
  </si>
  <si>
    <t>D15-1768</t>
  </si>
  <si>
    <t>D16-0208</t>
  </si>
  <si>
    <t>D16-0298</t>
  </si>
  <si>
    <t>D17-0918</t>
  </si>
  <si>
    <t>D18-0051</t>
  </si>
  <si>
    <t>D18-0870</t>
  </si>
  <si>
    <t>D18-1122</t>
  </si>
  <si>
    <t>D18-1921</t>
  </si>
  <si>
    <t>D19-0714</t>
  </si>
  <si>
    <t>D19-0823</t>
  </si>
  <si>
    <t>D19-0824</t>
  </si>
  <si>
    <t>D19-0825</t>
  </si>
  <si>
    <t>D19-1647</t>
  </si>
  <si>
    <t>D19-1648</t>
  </si>
  <si>
    <t>D19-1649</t>
  </si>
  <si>
    <t>D20-0414</t>
  </si>
  <si>
    <t>D20-0418</t>
  </si>
  <si>
    <t>D20-0819</t>
  </si>
  <si>
    <t>D20-1019</t>
  </si>
  <si>
    <t>D20-1040</t>
  </si>
  <si>
    <t>D21-0013</t>
  </si>
  <si>
    <t>D21-0023</t>
  </si>
  <si>
    <t>D21-0024</t>
  </si>
  <si>
    <t>D21-0068</t>
  </si>
  <si>
    <t>D21-0069</t>
  </si>
  <si>
    <t>D21-0074</t>
  </si>
  <si>
    <t>D21-0075</t>
  </si>
  <si>
    <t>D21-0076</t>
  </si>
  <si>
    <t>D21-0077</t>
  </si>
  <si>
    <t>D21-0078</t>
  </si>
  <si>
    <t>D21-0079</t>
  </si>
  <si>
    <t>D21-0083</t>
  </si>
  <si>
    <t>D21-0084</t>
  </si>
  <si>
    <t>D21-0085</t>
  </si>
  <si>
    <t>D22-0006</t>
  </si>
  <si>
    <t>D22-0007</t>
  </si>
  <si>
    <t>D22-0008</t>
  </si>
  <si>
    <t>D22-0015</t>
  </si>
  <si>
    <t>D22-0017</t>
  </si>
  <si>
    <t>D22-0018</t>
  </si>
  <si>
    <t>D22-0049</t>
  </si>
  <si>
    <t>D22-0050</t>
  </si>
  <si>
    <t>D22-0056</t>
  </si>
  <si>
    <t>D22-0060</t>
  </si>
  <si>
    <t>D22-0074</t>
  </si>
  <si>
    <t>D22-0075</t>
  </si>
  <si>
    <t>D22-0080</t>
  </si>
  <si>
    <t>D22-0081</t>
  </si>
  <si>
    <t>D22-0082</t>
  </si>
  <si>
    <t>D22-0088</t>
  </si>
  <si>
    <t>D22-0089</t>
  </si>
  <si>
    <t>D22-0109</t>
  </si>
  <si>
    <t>D22-0110</t>
  </si>
  <si>
    <t>D22-0119</t>
  </si>
  <si>
    <t>D22-0159</t>
  </si>
  <si>
    <t>D22-0161</t>
  </si>
  <si>
    <t>D22-0162</t>
  </si>
  <si>
    <t>D22-0170</t>
  </si>
  <si>
    <t>D23-0058</t>
  </si>
  <si>
    <t>D23-0059</t>
  </si>
  <si>
    <t>D23-0060</t>
  </si>
  <si>
    <t>DGS-20-210</t>
  </si>
  <si>
    <t>Average</t>
  </si>
  <si>
    <t>D21-0091</t>
  </si>
  <si>
    <t>Total sequences</t>
  </si>
  <si>
    <t>Paired-end technology bit set + both mates mapped</t>
  </si>
  <si>
    <t>Mapped &amp; paired</t>
  </si>
  <si>
    <t>Proper-pair bit set</t>
  </si>
  <si>
    <t>Properly paired</t>
  </si>
  <si>
    <t>Mismatches</t>
  </si>
  <si>
    <t>PCR or optical duplicate bit set</t>
  </si>
  <si>
    <t>Duplicated</t>
  </si>
  <si>
    <t>QC Failed</t>
  </si>
  <si>
    <t>Reads mapped and MQ=0</t>
  </si>
  <si>
    <t>Reads MQ0</t>
  </si>
  <si>
    <t>Mapped bases (CIGAR)</t>
  </si>
  <si>
    <t>Bases Trimmed</t>
  </si>
  <si>
    <t>Bases trimmed</t>
  </si>
  <si>
    <t>Duplicated bases</t>
  </si>
  <si>
    <t>Pairs on different chromosomes</t>
  </si>
  <si>
    <t>Pairs with other orientation</t>
  </si>
  <si>
    <t>Inward oriented pairs</t>
  </si>
  <si>
    <t>Outward oriented pairs</t>
  </si>
  <si>
    <t>GRCh38</t>
  </si>
  <si>
    <t>Sample</t>
  </si>
  <si>
    <t>Analysis</t>
  </si>
  <si>
    <t>Checkpoint</t>
  </si>
  <si>
    <t>Diff (T2T-Hg38)</t>
  </si>
  <si>
    <t>Amount</t>
  </si>
  <si>
    <t>reads mapped mq=0 / total sequences T2T-CHM13</t>
  </si>
  <si>
    <t>Percentage reads MQ0 T2T-CHM13</t>
  </si>
  <si>
    <t>reads mapped mq=0 / total sequences GRCh38</t>
  </si>
  <si>
    <t>Percentage reads MQ0 GRCh38</t>
  </si>
  <si>
    <t>proper-pair bit set T2T-CHM13</t>
  </si>
  <si>
    <t>Percentage properly paired mapped T2T-CHM13</t>
  </si>
  <si>
    <t>proper-pair bit set GRCh38</t>
  </si>
  <si>
    <t>Percentage properly paired mapped GRCh38</t>
  </si>
  <si>
    <t>pairs with other orientation T2T-CHM13</t>
  </si>
  <si>
    <t>Percentage pairs with other orientation T2T-CHM13</t>
  </si>
  <si>
    <t>pairs with other orientation GRCh38</t>
  </si>
  <si>
    <t>Percentage pairs with other orientation GRCh38</t>
  </si>
  <si>
    <t>mismatch rate T2T-CHM13</t>
  </si>
  <si>
    <t>Percentage mismatch bases T2T-CHM13</t>
  </si>
  <si>
    <t>mismatch rate GRCh38</t>
  </si>
  <si>
    <t>Percentage mismatch bases GRCh38</t>
  </si>
  <si>
    <t>average number of total sequences</t>
  </si>
  <si>
    <t>proper-pair bit set T2T-CHM13-GRCh38</t>
  </si>
  <si>
    <t>Properly paired mapped T2T-CHM13-GRCh38</t>
  </si>
  <si>
    <t>mq0 reads T2T-CHM13-GRCh38</t>
  </si>
  <si>
    <t>misoriented read pairs T2T-CHM13-GRCh38</t>
  </si>
  <si>
    <t>unmapped reads T2T-CHM13-GRCh38</t>
  </si>
  <si>
    <t>Mapped (with MQ&gt;0)</t>
  </si>
  <si>
    <t>MQ0</t>
  </si>
  <si>
    <t>Mapped</t>
  </si>
  <si>
    <t>Unmapped</t>
  </si>
  <si>
    <t>T2T-CHM13 - percent unmapped</t>
  </si>
  <si>
    <t>Percentage unmapped reads T2T-CHM13 / TOTAL SEQ</t>
  </si>
  <si>
    <t>GRCh38 - percent unmapped</t>
  </si>
  <si>
    <t>Percentage unmapped reads GRCh38 / TOTAL SEQ</t>
  </si>
  <si>
    <t>T2T-CHM13 - percent MQ0</t>
  </si>
  <si>
    <t>Percentage MQ0 reads T2T-CHM13 / Total Seq</t>
  </si>
  <si>
    <t>GRCh38 - percent MQ0</t>
  </si>
  <si>
    <t>Percentage MQ0 reads GRCh38 / Total Seq</t>
  </si>
  <si>
    <t>T2T-CHM13 - percent mapped</t>
  </si>
  <si>
    <t>Percentage mapped reads T2T-CHM13 / TOTAL SEQ</t>
  </si>
  <si>
    <t>GRCh38 - percent mapped</t>
  </si>
  <si>
    <t>Percentage mapped reads GRCh38 / TOTAL SEQ</t>
  </si>
  <si>
    <t>T2T-CHM13 - percent MQ&gt;0 mapped</t>
  </si>
  <si>
    <t>Percentage MQ&gt;0 mapped reads T2T-CHM13 / Total Seq</t>
  </si>
  <si>
    <t>GRCh38 - percent MQ&gt;0 mapped</t>
  </si>
  <si>
    <t>Percentage MQ&gt;0 mapped reads GRCh38 / Total Seq</t>
  </si>
  <si>
    <t>Sample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</si>
</sst>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%"/>
    <numFmt numFmtId="165" formatCode="0.000%"/>
    <numFmt numFmtId="166" formatCode="0.00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3" xfId="0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3" borderId="8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0" fillId="0" borderId="7" xfId="0" applyBorder="1"/>
    <xf numFmtId="0" fontId="0" fillId="0" borderId="8" xfId="0" applyBorder="1"/>
    <xf numFmtId="2" fontId="0" fillId="4" borderId="7" xfId="0" applyNumberFormat="1" applyFill="1" applyBorder="1"/>
    <xf numFmtId="0" fontId="0" fillId="3" borderId="8" xfId="0" applyFill="1" applyBorder="1"/>
    <xf numFmtId="0" fontId="3" fillId="0" borderId="12" xfId="0" applyFont="1" applyBorder="1"/>
    <xf numFmtId="0" fontId="3" fillId="0" borderId="13" xfId="0" applyFont="1" applyBorder="1"/>
    <xf numFmtId="0" fontId="2" fillId="2" borderId="14" xfId="0" applyFont="1" applyFill="1" applyBorder="1"/>
    <xf numFmtId="0" fontId="0" fillId="2" borderId="0" xfId="0" applyFill="1"/>
    <xf numFmtId="0" fontId="0" fillId="3" borderId="0" xfId="0" applyFill="1"/>
    <xf numFmtId="0" fontId="0" fillId="0" borderId="15" xfId="0" applyBorder="1"/>
    <xf numFmtId="0" fontId="0" fillId="0" borderId="16" xfId="0" applyBorder="1"/>
    <xf numFmtId="0" fontId="0" fillId="3" borderId="16" xfId="0" applyFill="1" applyBorder="1"/>
    <xf numFmtId="0" fontId="0" fillId="2" borderId="17" xfId="0" applyFill="1" applyBorder="1"/>
    <xf numFmtId="0" fontId="0" fillId="3" borderId="2" xfId="0" applyFill="1" applyBorder="1"/>
    <xf numFmtId="0" fontId="3" fillId="0" borderId="18" xfId="0" applyFont="1" applyBorder="1"/>
    <xf numFmtId="0" fontId="3" fillId="0" borderId="0" xfId="0" applyFont="1"/>
    <xf numFmtId="0" fontId="0" fillId="0" borderId="5" xfId="0" applyBorder="1"/>
    <xf numFmtId="0" fontId="0" fillId="0" borderId="19" xfId="0" applyBorder="1"/>
    <xf numFmtId="0" fontId="0" fillId="0" borderId="6" xfId="0" applyBorder="1"/>
    <xf numFmtId="0" fontId="3" fillId="4" borderId="20" xfId="0" applyFont="1" applyFill="1" applyBorder="1"/>
    <xf numFmtId="0" fontId="3" fillId="4" borderId="19" xfId="0" applyFont="1" applyFill="1" applyBorder="1"/>
    <xf numFmtId="0" fontId="3" fillId="4" borderId="6" xfId="0" applyFont="1" applyFill="1" applyBorder="1"/>
    <xf numFmtId="0" fontId="0" fillId="3" borderId="19" xfId="0" applyFill="1" applyBorder="1"/>
    <xf numFmtId="0" fontId="3" fillId="0" borderId="21" xfId="0" applyFont="1" applyBorder="1"/>
    <xf numFmtId="10" fontId="0" fillId="0" borderId="10" xfId="0" applyNumberFormat="1" applyBorder="1"/>
    <xf numFmtId="10" fontId="0" fillId="0" borderId="8" xfId="0" applyNumberFormat="1" applyBorder="1"/>
    <xf numFmtId="10" fontId="0" fillId="0" borderId="11" xfId="0" applyNumberFormat="1" applyBorder="1"/>
    <xf numFmtId="164" fontId="0" fillId="4" borderId="7" xfId="0" applyNumberFormat="1" applyFill="1" applyBorder="1"/>
    <xf numFmtId="10" fontId="0" fillId="4" borderId="8" xfId="0" applyNumberFormat="1" applyFill="1" applyBorder="1"/>
    <xf numFmtId="2" fontId="0" fillId="4" borderId="11" xfId="0" applyNumberFormat="1" applyFill="1" applyBorder="1"/>
    <xf numFmtId="10" fontId="0" fillId="3" borderId="8" xfId="0" applyNumberFormat="1" applyFill="1" applyBorder="1"/>
    <xf numFmtId="0" fontId="0" fillId="4" borderId="8" xfId="0" applyFill="1" applyBorder="1"/>
    <xf numFmtId="0" fontId="0" fillId="4" borderId="11" xfId="0" applyFill="1" applyBorder="1"/>
    <xf numFmtId="0" fontId="0" fillId="0" borderId="10" xfId="0" applyBorder="1"/>
    <xf numFmtId="0" fontId="0" fillId="0" borderId="11" xfId="0" applyBorder="1"/>
    <xf numFmtId="164" fontId="0" fillId="4" borderId="0" xfId="0" applyNumberFormat="1" applyFill="1"/>
    <xf numFmtId="0" fontId="0" fillId="4" borderId="0" xfId="0" applyFill="1"/>
    <xf numFmtId="0" fontId="0" fillId="4" borderId="22" xfId="0" applyFill="1" applyBorder="1"/>
    <xf numFmtId="165" fontId="0" fillId="0" borderId="10" xfId="1" applyNumberFormat="1" applyFont="1" applyBorder="1"/>
    <xf numFmtId="165" fontId="0" fillId="0" borderId="8" xfId="1" applyNumberFormat="1" applyFont="1" applyBorder="1"/>
    <xf numFmtId="165" fontId="0" fillId="0" borderId="11" xfId="1" applyNumberFormat="1" applyFont="1" applyBorder="1"/>
    <xf numFmtId="165" fontId="0" fillId="3" borderId="8" xfId="1" applyNumberFormat="1" applyFont="1" applyFill="1" applyBorder="1"/>
    <xf numFmtId="11" fontId="0" fillId="0" borderId="0" xfId="0" applyNumberFormat="1"/>
    <xf numFmtId="11" fontId="0" fillId="3" borderId="0" xfId="0" applyNumberFormat="1" applyFill="1"/>
    <xf numFmtId="0" fontId="3" fillId="0" borderId="23" xfId="0" applyFont="1" applyBorder="1"/>
    <xf numFmtId="0" fontId="3" fillId="0" borderId="24" xfId="0" applyFont="1" applyBorder="1"/>
    <xf numFmtId="0" fontId="0" fillId="0" borderId="12" xfId="0" applyBorder="1"/>
    <xf numFmtId="0" fontId="0" fillId="0" borderId="25" xfId="0" applyBorder="1"/>
    <xf numFmtId="0" fontId="0" fillId="0" borderId="13" xfId="0" applyBorder="1"/>
    <xf numFmtId="2" fontId="0" fillId="4" borderId="17" xfId="0" applyNumberFormat="1" applyFill="1" applyBorder="1"/>
    <xf numFmtId="0" fontId="0" fillId="4" borderId="24" xfId="0" applyFill="1" applyBorder="1"/>
    <xf numFmtId="0" fontId="0" fillId="4" borderId="26" xfId="0" applyFill="1" applyBorder="1"/>
    <xf numFmtId="0" fontId="0" fillId="3" borderId="25" xfId="0" applyFill="1" applyBorder="1"/>
    <xf numFmtId="2" fontId="0" fillId="4" borderId="0" xfId="0" applyNumberFormat="1" applyFill="1"/>
    <xf numFmtId="0" fontId="3" fillId="0" borderId="27" xfId="0" applyFont="1" applyBorder="1"/>
    <xf numFmtId="0" fontId="3" fillId="0" borderId="4" xfId="0" applyFont="1" applyBorder="1"/>
    <xf numFmtId="0" fontId="3" fillId="0" borderId="22" xfId="0" applyFont="1" applyBorder="1"/>
    <xf numFmtId="0" fontId="4" fillId="0" borderId="28" xfId="0" applyFont="1" applyBorder="1"/>
    <xf numFmtId="0" fontId="4" fillId="3" borderId="8" xfId="0" applyFont="1" applyFill="1" applyBorder="1"/>
    <xf numFmtId="2" fontId="0" fillId="0" borderId="0" xfId="0" applyNumberFormat="1"/>
    <xf numFmtId="0" fontId="4" fillId="0" borderId="8" xfId="0" applyFont="1" applyBorder="1"/>
    <xf numFmtId="0" fontId="2" fillId="2" borderId="21" xfId="0" applyFont="1" applyFill="1" applyBorder="1"/>
    <xf numFmtId="0" fontId="0" fillId="2" borderId="22" xfId="0" applyFill="1" applyBorder="1"/>
    <xf numFmtId="10" fontId="0" fillId="3" borderId="0" xfId="0" applyNumberFormat="1" applyFill="1"/>
    <xf numFmtId="0" fontId="3" fillId="0" borderId="19" xfId="0" applyFont="1" applyBorder="1"/>
    <xf numFmtId="0" fontId="5" fillId="2" borderId="0" xfId="0" applyFont="1" applyFill="1"/>
    <xf numFmtId="0" fontId="3" fillId="0" borderId="14" xfId="0" applyFont="1" applyBorder="1"/>
    <xf numFmtId="0" fontId="3" fillId="0" borderId="3" xfId="0" applyFont="1" applyBorder="1"/>
    <xf numFmtId="0" fontId="0" fillId="0" borderId="3" xfId="0" applyBorder="1"/>
    <xf numFmtId="0" fontId="3" fillId="4" borderId="5" xfId="0" applyFont="1" applyFill="1" applyBorder="1"/>
    <xf numFmtId="166" fontId="0" fillId="0" borderId="0" xfId="0" applyNumberFormat="1"/>
    <xf numFmtId="164" fontId="0" fillId="4" borderId="10" xfId="0" applyNumberFormat="1" applyFill="1" applyBorder="1" applyAlignment="1">
      <alignment horizontal="right"/>
    </xf>
    <xf numFmtId="0" fontId="0" fillId="0" borderId="21" xfId="0" applyBorder="1"/>
    <xf numFmtId="164" fontId="0" fillId="0" borderId="10" xfId="0" applyNumberFormat="1" applyBorder="1" applyAlignment="1">
      <alignment horizontal="right"/>
    </xf>
    <xf numFmtId="0" fontId="0" fillId="5" borderId="1" xfId="0" applyFill="1" applyBorder="1"/>
    <xf numFmtId="1" fontId="0" fillId="5" borderId="17" xfId="0" applyNumberForma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D857-5FCE-CF41-94A2-6748A8ECD930}">
  <dimension ref="A1:CH82"/>
  <sheetViews>
    <sheetView tabSelected="1" workbookViewId="0">
      <pane xSplit="1" topLeftCell="BD1" activePane="topRight" state="frozen"/>
      <selection pane="topRight" activeCell="BT13" sqref="BT13"/>
    </sheetView>
  </sheetViews>
  <sheetFormatPr baseColWidth="10" defaultRowHeight="16" x14ac:dyDescent="0.2"/>
  <cols>
    <col min="1" max="1" width="43" bestFit="1" customWidth="1"/>
    <col min="2" max="2" width="46.5" customWidth="1"/>
    <col min="3" max="54" width="12.1640625" bestFit="1" customWidth="1"/>
    <col min="55" max="55" width="13.1640625" bestFit="1" customWidth="1"/>
    <col min="56" max="64" width="12.1640625" bestFit="1" customWidth="1"/>
    <col min="65" max="65" width="13.1640625" bestFit="1" customWidth="1"/>
    <col min="66" max="66" width="12.6640625" bestFit="1" customWidth="1"/>
    <col min="67" max="67" width="12.1640625" bestFit="1" customWidth="1"/>
    <col min="68" max="68" width="13.1640625" bestFit="1" customWidth="1"/>
    <col min="69" max="72" width="12.1640625" bestFit="1" customWidth="1"/>
    <col min="73" max="73" width="16.5" customWidth="1"/>
    <col min="74" max="76" width="12.1640625" bestFit="1" customWidth="1"/>
    <col min="77" max="77" width="15" customWidth="1"/>
    <col min="78" max="85" width="12.1640625" bestFit="1" customWidth="1"/>
    <col min="86" max="86" width="12.1640625" style="22" bestFit="1" customWidth="1"/>
    <col min="87" max="102" width="12.1640625" bestFit="1" customWidth="1"/>
    <col min="103" max="104" width="12.83203125" bestFit="1" customWidth="1"/>
    <col min="105" max="105" width="12.6640625" bestFit="1" customWidth="1"/>
    <col min="106" max="106" width="12.1640625" bestFit="1" customWidth="1"/>
    <col min="107" max="107" width="13.1640625" bestFit="1" customWidth="1"/>
    <col min="108" max="152" width="12.1640625" bestFit="1" customWidth="1"/>
    <col min="153" max="153" width="13.5" bestFit="1" customWidth="1"/>
  </cols>
  <sheetData>
    <row r="1" spans="1:86" s="2" customFormat="1" ht="20" thickBot="1" x14ac:dyDescent="0.3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  <c r="BS1" s="3"/>
      <c r="BT1" s="3"/>
      <c r="BU1" s="3"/>
      <c r="BV1" s="3"/>
      <c r="BW1" s="3"/>
      <c r="CH1" s="5"/>
    </row>
    <row r="2" spans="1:86" x14ac:dyDescent="0.2">
      <c r="A2" s="6" t="s">
        <v>1</v>
      </c>
      <c r="B2" s="7"/>
      <c r="C2" s="8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9" t="s">
        <v>30</v>
      </c>
      <c r="AF2" s="9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9" t="s">
        <v>44</v>
      </c>
      <c r="AT2" s="9" t="s">
        <v>45</v>
      </c>
      <c r="AU2" s="9" t="s">
        <v>46</v>
      </c>
      <c r="AV2" s="9" t="s">
        <v>47</v>
      </c>
      <c r="AW2" s="9" t="s">
        <v>48</v>
      </c>
      <c r="AX2" s="9" t="s">
        <v>49</v>
      </c>
      <c r="AY2" s="9" t="s">
        <v>50</v>
      </c>
      <c r="AZ2" s="9" t="s">
        <v>51</v>
      </c>
      <c r="BA2" s="9" t="s">
        <v>52</v>
      </c>
      <c r="BB2" s="9" t="s">
        <v>53</v>
      </c>
      <c r="BC2" s="9" t="s">
        <v>54</v>
      </c>
      <c r="BD2" s="9" t="s">
        <v>55</v>
      </c>
      <c r="BE2" s="9" t="s">
        <v>56</v>
      </c>
      <c r="BF2" s="9" t="s">
        <v>57</v>
      </c>
      <c r="BG2" s="9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  <c r="BN2" s="9" t="s">
        <v>65</v>
      </c>
      <c r="BO2" s="9" t="s">
        <v>66</v>
      </c>
      <c r="BP2" s="9" t="s">
        <v>67</v>
      </c>
      <c r="BQ2" s="9" t="s">
        <v>68</v>
      </c>
      <c r="BR2" s="9" t="s">
        <v>69</v>
      </c>
      <c r="BS2" s="9" t="s">
        <v>70</v>
      </c>
      <c r="BT2" s="9" t="s">
        <v>71</v>
      </c>
      <c r="BU2" s="9" t="s">
        <v>72</v>
      </c>
      <c r="BV2" s="9" t="s">
        <v>73</v>
      </c>
      <c r="BW2" s="9" t="s">
        <v>74</v>
      </c>
      <c r="BX2" s="10" t="s">
        <v>75</v>
      </c>
      <c r="CH2" s="11" t="s">
        <v>76</v>
      </c>
    </row>
    <row r="3" spans="1:86" x14ac:dyDescent="0.2">
      <c r="A3" s="12" t="s">
        <v>77</v>
      </c>
      <c r="B3" s="13" t="s">
        <v>77</v>
      </c>
      <c r="C3" s="14">
        <v>1243.9491559999999</v>
      </c>
      <c r="D3" s="15">
        <v>683.28560800000002</v>
      </c>
      <c r="E3" s="15">
        <v>756.01317399999903</v>
      </c>
      <c r="F3" s="15">
        <v>751.59012399999995</v>
      </c>
      <c r="G3" s="15">
        <v>770.19336799999996</v>
      </c>
      <c r="H3" s="15">
        <v>660.99769800000001</v>
      </c>
      <c r="I3" s="15">
        <v>870.43861399999901</v>
      </c>
      <c r="J3" s="15">
        <v>1083.4548560000001</v>
      </c>
      <c r="K3" s="15">
        <v>980.81983399999899</v>
      </c>
      <c r="L3" s="15">
        <v>1021.295724</v>
      </c>
      <c r="M3" s="15">
        <v>973.31169799999998</v>
      </c>
      <c r="N3" s="15">
        <v>1319.2015759999999</v>
      </c>
      <c r="O3" s="15">
        <v>968.60905399999899</v>
      </c>
      <c r="P3" s="15">
        <v>877.02676199999996</v>
      </c>
      <c r="Q3" s="15">
        <v>920.03595599999903</v>
      </c>
      <c r="R3" s="15">
        <v>755.54445599999997</v>
      </c>
      <c r="S3" s="15">
        <v>798.264546</v>
      </c>
      <c r="T3" s="15">
        <v>668.28429599999902</v>
      </c>
      <c r="U3" s="15">
        <v>736.88001599999996</v>
      </c>
      <c r="V3" s="15">
        <v>732.69981999999902</v>
      </c>
      <c r="W3" s="15">
        <v>769.22044599999901</v>
      </c>
      <c r="X3" s="15">
        <v>770.21240999999998</v>
      </c>
      <c r="Y3" s="15">
        <v>1050.0625499999901</v>
      </c>
      <c r="Z3" s="15">
        <v>827.92701399999999</v>
      </c>
      <c r="AA3" s="15">
        <v>898.21739400000001</v>
      </c>
      <c r="AB3" s="15">
        <v>875.79351599999995</v>
      </c>
      <c r="AC3" s="15">
        <v>694.74412799999902</v>
      </c>
      <c r="AD3" s="15">
        <v>885.40589</v>
      </c>
      <c r="AE3" s="15">
        <v>1183.6089119999999</v>
      </c>
      <c r="AF3" s="15">
        <v>668.13060799999903</v>
      </c>
      <c r="AG3" s="15">
        <v>768.36884399999997</v>
      </c>
      <c r="AH3" s="15">
        <v>833.25917399999901</v>
      </c>
      <c r="AI3" s="15">
        <v>848.79994799999997</v>
      </c>
      <c r="AJ3" s="15">
        <v>798.47116799999901</v>
      </c>
      <c r="AK3" s="15">
        <v>806.53973599999995</v>
      </c>
      <c r="AL3" s="15">
        <v>1032.9105399999901</v>
      </c>
      <c r="AM3" s="15">
        <v>818.00836800000002</v>
      </c>
      <c r="AN3" s="15">
        <v>745.21935399999995</v>
      </c>
      <c r="AO3" s="15">
        <v>1172.381398</v>
      </c>
      <c r="AP3" s="15">
        <v>736.27223800000002</v>
      </c>
      <c r="AQ3" s="15">
        <v>926.55987199999902</v>
      </c>
      <c r="AR3" s="15">
        <v>935.86754799999903</v>
      </c>
      <c r="AS3" s="15">
        <v>737.032872</v>
      </c>
      <c r="AT3" s="15">
        <v>790.41557999999998</v>
      </c>
      <c r="AU3" s="15">
        <v>869.86180400000001</v>
      </c>
      <c r="AV3" s="15">
        <v>958.185202</v>
      </c>
      <c r="AW3" s="15">
        <v>823.59385599999996</v>
      </c>
      <c r="AX3" s="15">
        <v>887.41087399999901</v>
      </c>
      <c r="AY3" s="15">
        <v>961.38142599999901</v>
      </c>
      <c r="AZ3" s="15">
        <v>846.59815600000002</v>
      </c>
      <c r="BA3" s="15">
        <v>948.98377799999901</v>
      </c>
      <c r="BB3" s="15">
        <v>697.00105999999903</v>
      </c>
      <c r="BC3" s="15">
        <v>699.16333399999996</v>
      </c>
      <c r="BD3" s="15">
        <v>765.98331799999903</v>
      </c>
      <c r="BE3" s="15">
        <v>734.52314200000001</v>
      </c>
      <c r="BF3" s="15">
        <v>785.38289199999997</v>
      </c>
      <c r="BG3" s="15">
        <v>746.12038599999903</v>
      </c>
      <c r="BH3" s="15">
        <v>763.69846599999903</v>
      </c>
      <c r="BI3" s="15">
        <v>882.56635999999901</v>
      </c>
      <c r="BJ3" s="15">
        <v>854.27815999999996</v>
      </c>
      <c r="BK3" s="15">
        <v>856.007474</v>
      </c>
      <c r="BL3" s="15">
        <v>939.13838199999998</v>
      </c>
      <c r="BM3" s="15">
        <v>978.546595999999</v>
      </c>
      <c r="BN3" s="15">
        <v>921.20750199999998</v>
      </c>
      <c r="BO3" s="15">
        <v>969.90754999999899</v>
      </c>
      <c r="BP3" s="15">
        <v>922.48096199999998</v>
      </c>
      <c r="BQ3" s="15">
        <v>869.01225799999997</v>
      </c>
      <c r="BR3" s="15">
        <v>905.12543799999901</v>
      </c>
      <c r="BS3" s="15">
        <v>769.26484599999901</v>
      </c>
      <c r="BT3" s="15">
        <v>1053.4701219999999</v>
      </c>
      <c r="BU3" s="15">
        <v>962.28895</v>
      </c>
      <c r="BV3" s="15">
        <v>977.05931999999996</v>
      </c>
      <c r="BW3" s="15">
        <v>937.78459799999996</v>
      </c>
      <c r="BX3" s="16">
        <f>AVERAGE(C3:BW3)</f>
        <v>868.92263090410904</v>
      </c>
      <c r="CH3" s="17">
        <v>1194.675056</v>
      </c>
    </row>
    <row r="4" spans="1:86" x14ac:dyDescent="0.2">
      <c r="A4" s="12" t="s">
        <v>78</v>
      </c>
      <c r="B4" s="13" t="s">
        <v>79</v>
      </c>
      <c r="C4" s="14">
        <v>1237.4027599999999</v>
      </c>
      <c r="D4" s="15">
        <v>679.04597999999999</v>
      </c>
      <c r="E4" s="15">
        <v>751.32820199999901</v>
      </c>
      <c r="F4" s="15">
        <v>746.66821399999901</v>
      </c>
      <c r="G4" s="15">
        <v>765.64835199999902</v>
      </c>
      <c r="H4" s="15">
        <v>657.59630199999901</v>
      </c>
      <c r="I4" s="15">
        <v>865.26775399999997</v>
      </c>
      <c r="J4" s="15">
        <v>1077.7892139999999</v>
      </c>
      <c r="K4" s="15">
        <v>975.11307399999998</v>
      </c>
      <c r="L4" s="15">
        <v>1015.828356</v>
      </c>
      <c r="M4" s="15">
        <v>967.19771800000001</v>
      </c>
      <c r="N4" s="15">
        <v>1312.15517</v>
      </c>
      <c r="O4" s="15">
        <v>963.43301999999903</v>
      </c>
      <c r="P4" s="15">
        <v>872.04851799999994</v>
      </c>
      <c r="Q4" s="15">
        <v>914.49591399999997</v>
      </c>
      <c r="R4" s="15">
        <v>750.98552399999903</v>
      </c>
      <c r="S4" s="15">
        <v>793.20702199999903</v>
      </c>
      <c r="T4" s="15">
        <v>664.03843599999902</v>
      </c>
      <c r="U4" s="15">
        <v>733.03294199999903</v>
      </c>
      <c r="V4" s="15">
        <v>728.45930999999996</v>
      </c>
      <c r="W4" s="15">
        <v>764.59628199999997</v>
      </c>
      <c r="X4" s="15">
        <v>765.67072199999996</v>
      </c>
      <c r="Y4" s="15">
        <v>1043.98416</v>
      </c>
      <c r="Z4" s="15">
        <v>823.34069799999997</v>
      </c>
      <c r="AA4" s="15">
        <v>892.63870599999996</v>
      </c>
      <c r="AB4" s="15">
        <v>870.91599599999995</v>
      </c>
      <c r="AC4" s="15">
        <v>690.77002800000002</v>
      </c>
      <c r="AD4" s="15">
        <v>880.48061199999995</v>
      </c>
      <c r="AE4" s="15">
        <v>1176.5021099999999</v>
      </c>
      <c r="AF4" s="15">
        <v>664.18238599999995</v>
      </c>
      <c r="AG4" s="15">
        <v>763.55606399999999</v>
      </c>
      <c r="AH4" s="15">
        <v>828.63332600000001</v>
      </c>
      <c r="AI4" s="15">
        <v>843.61160999999902</v>
      </c>
      <c r="AJ4" s="15">
        <v>794.12326399999995</v>
      </c>
      <c r="AK4" s="15">
        <v>801.53470599999901</v>
      </c>
      <c r="AL4" s="15">
        <v>1027.4285159999999</v>
      </c>
      <c r="AM4" s="15">
        <v>813.19156999999996</v>
      </c>
      <c r="AN4" s="15">
        <v>740.55279999999902</v>
      </c>
      <c r="AO4" s="15">
        <v>1165.582764</v>
      </c>
      <c r="AP4" s="15">
        <v>732.26758999999902</v>
      </c>
      <c r="AQ4" s="15">
        <v>920.836401999999</v>
      </c>
      <c r="AR4" s="15">
        <v>930.47907199999997</v>
      </c>
      <c r="AS4" s="15">
        <v>732.92784599999902</v>
      </c>
      <c r="AT4" s="15">
        <v>785.857923999999</v>
      </c>
      <c r="AU4" s="15">
        <v>864.87531200000001</v>
      </c>
      <c r="AV4" s="15">
        <v>952.75221599999998</v>
      </c>
      <c r="AW4" s="15">
        <v>819.93346399999996</v>
      </c>
      <c r="AX4" s="15">
        <v>882.38155599999902</v>
      </c>
      <c r="AY4" s="15">
        <v>955.54874599999903</v>
      </c>
      <c r="AZ4" s="15">
        <v>841.62623799999994</v>
      </c>
      <c r="BA4" s="15">
        <v>943.59380199999998</v>
      </c>
      <c r="BB4" s="15">
        <v>693.15386599999999</v>
      </c>
      <c r="BC4" s="15">
        <v>695.13438599999995</v>
      </c>
      <c r="BD4" s="15">
        <v>761.49668599999995</v>
      </c>
      <c r="BE4" s="15">
        <v>730.61981800000001</v>
      </c>
      <c r="BF4" s="15">
        <v>781.09784400000001</v>
      </c>
      <c r="BG4" s="15">
        <v>741.57525799999996</v>
      </c>
      <c r="BH4" s="15">
        <v>759.42316599999901</v>
      </c>
      <c r="BI4" s="15">
        <v>876.86739999999998</v>
      </c>
      <c r="BJ4" s="15">
        <v>849.61623799999995</v>
      </c>
      <c r="BK4" s="15">
        <v>850.87045000000001</v>
      </c>
      <c r="BL4" s="15">
        <v>933.55679399999997</v>
      </c>
      <c r="BM4" s="15">
        <v>973.07827199999997</v>
      </c>
      <c r="BN4" s="15">
        <v>915.94896599999902</v>
      </c>
      <c r="BO4" s="15">
        <v>963.97737599999903</v>
      </c>
      <c r="BP4" s="15">
        <v>917.2029</v>
      </c>
      <c r="BQ4" s="15">
        <v>863.29050999999902</v>
      </c>
      <c r="BR4" s="15">
        <v>899.94952000000001</v>
      </c>
      <c r="BS4" s="15">
        <v>765.23670399999901</v>
      </c>
      <c r="BT4" s="15">
        <v>1047.0503139999901</v>
      </c>
      <c r="BU4" s="15">
        <v>956.26279</v>
      </c>
      <c r="BV4" s="15">
        <v>971.842793999999</v>
      </c>
      <c r="BW4" s="15">
        <v>932.36291399999902</v>
      </c>
      <c r="BX4" s="16">
        <f>AVERAGE(C4:BW4)</f>
        <v>863.90045528767075</v>
      </c>
      <c r="CH4" s="17">
        <v>1188.1128059999901</v>
      </c>
    </row>
    <row r="5" spans="1:86" x14ac:dyDescent="0.2">
      <c r="A5" s="12" t="s">
        <v>80</v>
      </c>
      <c r="B5" s="13" t="s">
        <v>81</v>
      </c>
      <c r="C5" s="14">
        <v>1217.787084</v>
      </c>
      <c r="D5" s="15">
        <v>664.95654999999999</v>
      </c>
      <c r="E5" s="15">
        <v>738.01432999999997</v>
      </c>
      <c r="F5" s="15">
        <v>729.67594399999996</v>
      </c>
      <c r="G5" s="15">
        <v>751.75511999999901</v>
      </c>
      <c r="H5" s="15">
        <v>648.53881999999999</v>
      </c>
      <c r="I5" s="15">
        <v>846.87623999999903</v>
      </c>
      <c r="J5" s="15">
        <v>1071.8377559999999</v>
      </c>
      <c r="K5" s="15">
        <v>968.35161599999901</v>
      </c>
      <c r="L5" s="15">
        <v>1007.12116399999</v>
      </c>
      <c r="M5" s="15">
        <v>948.98952799999995</v>
      </c>
      <c r="N5" s="15">
        <v>1289.3123779999901</v>
      </c>
      <c r="O5" s="15">
        <v>948.72552799999903</v>
      </c>
      <c r="P5" s="15">
        <v>857.17558799999995</v>
      </c>
      <c r="Q5" s="15">
        <v>900.03407399999901</v>
      </c>
      <c r="R5" s="15">
        <v>736.39677999999901</v>
      </c>
      <c r="S5" s="15">
        <v>776.94285200000002</v>
      </c>
      <c r="T5" s="15">
        <v>651.36588199999903</v>
      </c>
      <c r="U5" s="15">
        <v>718.04527399999995</v>
      </c>
      <c r="V5" s="15">
        <v>715.29283599999997</v>
      </c>
      <c r="W5" s="15">
        <v>751.50039399999901</v>
      </c>
      <c r="X5" s="15">
        <v>751.371251999999</v>
      </c>
      <c r="Y5" s="15">
        <v>1025.002534</v>
      </c>
      <c r="Z5" s="15">
        <v>809.56083599999999</v>
      </c>
      <c r="AA5" s="15">
        <v>877.163355999999</v>
      </c>
      <c r="AB5" s="15">
        <v>855.97678399999995</v>
      </c>
      <c r="AC5" s="15">
        <v>681.97218199999998</v>
      </c>
      <c r="AD5" s="15">
        <v>869.84161599999902</v>
      </c>
      <c r="AE5" s="15">
        <v>1157.3393899999901</v>
      </c>
      <c r="AF5" s="15">
        <v>650.696236</v>
      </c>
      <c r="AG5" s="15">
        <v>748.99405999999999</v>
      </c>
      <c r="AH5" s="15">
        <v>813.71151199999997</v>
      </c>
      <c r="AI5" s="15">
        <v>828.53698599999996</v>
      </c>
      <c r="AJ5" s="15">
        <v>780.314561999999</v>
      </c>
      <c r="AK5" s="15">
        <v>786.61549600000001</v>
      </c>
      <c r="AL5" s="15">
        <v>1010.15113</v>
      </c>
      <c r="AM5" s="15">
        <v>796.46096599999998</v>
      </c>
      <c r="AN5" s="15">
        <v>728.39458999999999</v>
      </c>
      <c r="AO5" s="15">
        <v>1145.7706879999901</v>
      </c>
      <c r="AP5" s="15">
        <v>717.83474200000001</v>
      </c>
      <c r="AQ5" s="15">
        <v>906.44725599999902</v>
      </c>
      <c r="AR5" s="15">
        <v>913.78150399999902</v>
      </c>
      <c r="AS5" s="15">
        <v>717.92217399999902</v>
      </c>
      <c r="AT5" s="15">
        <v>770.08848799999998</v>
      </c>
      <c r="AU5" s="15">
        <v>851.91363799999999</v>
      </c>
      <c r="AV5" s="15">
        <v>936.53066999999999</v>
      </c>
      <c r="AW5" s="15">
        <v>808.22822399999995</v>
      </c>
      <c r="AX5" s="15">
        <v>867.12650199999996</v>
      </c>
      <c r="AY5" s="15">
        <v>939.56834799999899</v>
      </c>
      <c r="AZ5" s="15">
        <v>827.79883799999902</v>
      </c>
      <c r="BA5" s="15">
        <v>928.72208000000001</v>
      </c>
      <c r="BB5" s="15">
        <v>682.07060200000001</v>
      </c>
      <c r="BC5" s="15">
        <v>681.22181599999999</v>
      </c>
      <c r="BD5" s="15">
        <v>746.46116399999903</v>
      </c>
      <c r="BE5" s="15">
        <v>715.70355599999903</v>
      </c>
      <c r="BF5" s="15">
        <v>766.75877600000001</v>
      </c>
      <c r="BG5" s="15">
        <v>728.22507999999902</v>
      </c>
      <c r="BH5" s="15">
        <v>746.03867200000002</v>
      </c>
      <c r="BI5" s="15">
        <v>861.190922</v>
      </c>
      <c r="BJ5" s="15">
        <v>833.71714199999997</v>
      </c>
      <c r="BK5" s="15">
        <v>833.16594599999996</v>
      </c>
      <c r="BL5" s="15">
        <v>916.20280400000001</v>
      </c>
      <c r="BM5" s="15">
        <v>958.99754599999903</v>
      </c>
      <c r="BN5" s="15">
        <v>902.28136399999903</v>
      </c>
      <c r="BO5" s="15">
        <v>945.25531999999998</v>
      </c>
      <c r="BP5" s="15">
        <v>903.23143399999901</v>
      </c>
      <c r="BQ5" s="15">
        <v>850.34417399999995</v>
      </c>
      <c r="BR5" s="15">
        <v>886.49485399999901</v>
      </c>
      <c r="BS5" s="15">
        <v>754.87004400000001</v>
      </c>
      <c r="BT5" s="15">
        <v>1030.963876</v>
      </c>
      <c r="BU5" s="15">
        <v>941.16508599999997</v>
      </c>
      <c r="BV5" s="15">
        <v>957.112706</v>
      </c>
      <c r="BW5" s="15">
        <v>924.95593399999996</v>
      </c>
      <c r="BX5" s="16">
        <f>AVERAGE(C5:BW5)</f>
        <v>849.43782460273883</v>
      </c>
      <c r="CH5" s="17">
        <v>1181.027016</v>
      </c>
    </row>
    <row r="6" spans="1:86" x14ac:dyDescent="0.2">
      <c r="A6" s="12" t="s">
        <v>82</v>
      </c>
      <c r="B6" s="13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6"/>
      <c r="CH6" s="17"/>
    </row>
    <row r="7" spans="1:86" x14ac:dyDescent="0.2">
      <c r="A7" s="12" t="s">
        <v>83</v>
      </c>
      <c r="B7" s="13" t="s">
        <v>84</v>
      </c>
      <c r="C7" s="14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6">
        <f t="shared" ref="BX7:BX16" si="0">AVERAGE(C7:BW7)</f>
        <v>0</v>
      </c>
      <c r="CH7" s="17">
        <v>0</v>
      </c>
    </row>
    <row r="8" spans="1:86" x14ac:dyDescent="0.2">
      <c r="A8" s="12" t="s">
        <v>85</v>
      </c>
      <c r="B8" s="13" t="s">
        <v>85</v>
      </c>
      <c r="C8" s="14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6">
        <f t="shared" si="0"/>
        <v>0</v>
      </c>
      <c r="CH8" s="17">
        <v>0</v>
      </c>
    </row>
    <row r="9" spans="1:86" x14ac:dyDescent="0.2">
      <c r="A9" s="12" t="s">
        <v>86</v>
      </c>
      <c r="B9" s="13" t="s">
        <v>87</v>
      </c>
      <c r="C9" s="14">
        <v>57.341330999999997</v>
      </c>
      <c r="D9" s="15">
        <v>40.209128999999997</v>
      </c>
      <c r="E9" s="15">
        <v>45.523364999999998</v>
      </c>
      <c r="F9" s="15">
        <v>49.044350999999999</v>
      </c>
      <c r="G9" s="15">
        <v>38.925484999999902</v>
      </c>
      <c r="H9" s="15">
        <v>31.063820999999901</v>
      </c>
      <c r="I9" s="15">
        <v>53.828975999999997</v>
      </c>
      <c r="J9" s="15">
        <v>46.705197999999903</v>
      </c>
      <c r="K9" s="15">
        <v>45.457695999999999</v>
      </c>
      <c r="L9" s="15">
        <v>45.392080999999997</v>
      </c>
      <c r="M9" s="15">
        <v>48.099002999999897</v>
      </c>
      <c r="N9" s="15">
        <v>59.610026999999903</v>
      </c>
      <c r="O9" s="15">
        <v>46.502955</v>
      </c>
      <c r="P9" s="15">
        <v>40.298662</v>
      </c>
      <c r="Q9" s="15">
        <v>51.917369000000001</v>
      </c>
      <c r="R9" s="15">
        <v>40.85868</v>
      </c>
      <c r="S9" s="15">
        <v>42.820991999999997</v>
      </c>
      <c r="T9" s="15">
        <v>36.222417999999998</v>
      </c>
      <c r="U9" s="15">
        <v>38.652555999999997</v>
      </c>
      <c r="V9" s="15">
        <v>37.267811000000002</v>
      </c>
      <c r="W9" s="15">
        <v>41.110661</v>
      </c>
      <c r="X9" s="15">
        <v>36.023826999999997</v>
      </c>
      <c r="Y9" s="15">
        <v>55.094873</v>
      </c>
      <c r="Z9" s="15">
        <v>39.186375999999903</v>
      </c>
      <c r="AA9" s="15">
        <v>45.091214000000001</v>
      </c>
      <c r="AB9" s="15">
        <v>42.540861</v>
      </c>
      <c r="AC9" s="15">
        <v>30.574302999999901</v>
      </c>
      <c r="AD9" s="15">
        <v>41.810186000000002</v>
      </c>
      <c r="AE9" s="15">
        <v>58.694306999999903</v>
      </c>
      <c r="AF9" s="15">
        <v>34.245278999999996</v>
      </c>
      <c r="AG9" s="15">
        <v>41.956855999999902</v>
      </c>
      <c r="AH9" s="15">
        <v>42.347840999999903</v>
      </c>
      <c r="AI9" s="15">
        <v>43.772914</v>
      </c>
      <c r="AJ9" s="15">
        <v>37.390062999999998</v>
      </c>
      <c r="AK9" s="15">
        <v>40.64725</v>
      </c>
      <c r="AL9" s="15">
        <v>46.669053999999903</v>
      </c>
      <c r="AM9" s="15">
        <v>40.960409999999897</v>
      </c>
      <c r="AN9" s="15">
        <v>40.287174999999998</v>
      </c>
      <c r="AO9" s="15">
        <v>55.548665999999997</v>
      </c>
      <c r="AP9" s="15">
        <v>36.682530999999997</v>
      </c>
      <c r="AQ9" s="15">
        <v>48.14528</v>
      </c>
      <c r="AR9" s="15">
        <v>45.551172000000001</v>
      </c>
      <c r="AS9" s="15">
        <v>38.085397999999998</v>
      </c>
      <c r="AT9" s="15">
        <v>42.260042999999897</v>
      </c>
      <c r="AU9" s="15">
        <v>44.331762999999903</v>
      </c>
      <c r="AV9" s="15">
        <v>49.268645999999997</v>
      </c>
      <c r="AW9" s="15">
        <v>22.927475999999999</v>
      </c>
      <c r="AX9" s="15">
        <v>42.945318</v>
      </c>
      <c r="AY9" s="15">
        <v>49.054634</v>
      </c>
      <c r="AZ9" s="15">
        <v>44.697859999999999</v>
      </c>
      <c r="BA9" s="15">
        <v>43.519748</v>
      </c>
      <c r="BB9" s="15">
        <v>34.913603999999999</v>
      </c>
      <c r="BC9" s="15">
        <v>37.679732999999999</v>
      </c>
      <c r="BD9" s="15">
        <v>39.578272999999903</v>
      </c>
      <c r="BE9" s="15">
        <v>36.607728999999999</v>
      </c>
      <c r="BF9" s="15">
        <v>36.997135</v>
      </c>
      <c r="BG9" s="15">
        <v>38.067439999999998</v>
      </c>
      <c r="BH9" s="15">
        <v>37.340863999999897</v>
      </c>
      <c r="BI9" s="15">
        <v>48.596792000000001</v>
      </c>
      <c r="BJ9" s="15">
        <v>44.964078000000001</v>
      </c>
      <c r="BK9" s="15">
        <v>44.34995</v>
      </c>
      <c r="BL9" s="15">
        <v>49.122006999999897</v>
      </c>
      <c r="BM9" s="15">
        <v>48.6676</v>
      </c>
      <c r="BN9" s="15">
        <v>47.504266999999999</v>
      </c>
      <c r="BO9" s="15">
        <v>50.969074999999997</v>
      </c>
      <c r="BP9" s="15">
        <v>44.199976999999997</v>
      </c>
      <c r="BQ9" s="15">
        <v>45.158761999999903</v>
      </c>
      <c r="BR9" s="15">
        <v>43.669184999999999</v>
      </c>
      <c r="BS9" s="15">
        <v>33.997167999999903</v>
      </c>
      <c r="BT9" s="15">
        <v>55.941015</v>
      </c>
      <c r="BU9" s="15">
        <v>51.887221999999902</v>
      </c>
      <c r="BV9" s="15">
        <v>45.935710999999998</v>
      </c>
      <c r="BW9" s="15">
        <v>44.967403999999902</v>
      </c>
      <c r="BX9" s="16">
        <f t="shared" si="0"/>
        <v>43.5380668767123</v>
      </c>
      <c r="CH9" s="17">
        <v>59.824766999999902</v>
      </c>
    </row>
    <row r="10" spans="1:86" x14ac:dyDescent="0.2">
      <c r="A10" s="12" t="s">
        <v>88</v>
      </c>
      <c r="B10" s="13" t="s">
        <v>88</v>
      </c>
      <c r="C10" s="14">
        <v>181288.01149400001</v>
      </c>
      <c r="D10" s="15">
        <v>98071.189971999993</v>
      </c>
      <c r="E10" s="15">
        <v>109247.021851</v>
      </c>
      <c r="F10" s="15">
        <v>107283.889197</v>
      </c>
      <c r="G10" s="15">
        <v>111825.310866</v>
      </c>
      <c r="H10" s="15">
        <v>96564.726186999993</v>
      </c>
      <c r="I10" s="15">
        <v>121922.107093</v>
      </c>
      <c r="J10" s="15">
        <v>160260.43532999899</v>
      </c>
      <c r="K10" s="15">
        <v>144731.49253799999</v>
      </c>
      <c r="L10" s="15">
        <v>150514.185268</v>
      </c>
      <c r="M10" s="15">
        <v>140988.083587</v>
      </c>
      <c r="N10" s="15">
        <v>191735.88242899999</v>
      </c>
      <c r="O10" s="15">
        <v>140378.05269099999</v>
      </c>
      <c r="P10" s="15">
        <v>127308.159932</v>
      </c>
      <c r="Q10" s="15">
        <v>133310.93243099999</v>
      </c>
      <c r="R10" s="15">
        <v>109062.958485</v>
      </c>
      <c r="S10" s="15">
        <v>114895.681155999</v>
      </c>
      <c r="T10" s="15">
        <v>96628.999402999994</v>
      </c>
      <c r="U10" s="15">
        <v>106653.06976</v>
      </c>
      <c r="V10" s="15">
        <v>105893.110187</v>
      </c>
      <c r="W10" s="15">
        <v>111861.826519999</v>
      </c>
      <c r="X10" s="15">
        <v>111799.092441</v>
      </c>
      <c r="Y10" s="15">
        <v>152595.99736899999</v>
      </c>
      <c r="Z10" s="15">
        <v>120378.85815099999</v>
      </c>
      <c r="AA10" s="15">
        <v>130420.422922</v>
      </c>
      <c r="AB10" s="15">
        <v>127220.419782999</v>
      </c>
      <c r="AC10" s="15">
        <v>102196.254026</v>
      </c>
      <c r="AD10" s="15">
        <v>130344.64191599999</v>
      </c>
      <c r="AE10" s="15">
        <v>172168.291555</v>
      </c>
      <c r="AF10" s="15">
        <v>96422.574181999997</v>
      </c>
      <c r="AG10" s="15">
        <v>111092.620469</v>
      </c>
      <c r="AH10" s="15">
        <v>120663.055056</v>
      </c>
      <c r="AI10" s="15">
        <v>122404.040165</v>
      </c>
      <c r="AJ10" s="15">
        <v>115625.992636</v>
      </c>
      <c r="AK10" s="15">
        <v>117083.71275399999</v>
      </c>
      <c r="AL10" s="15">
        <v>150525.92587799899</v>
      </c>
      <c r="AM10" s="15">
        <v>118319.507560999</v>
      </c>
      <c r="AN10" s="15">
        <v>108373.734983</v>
      </c>
      <c r="AO10" s="15">
        <v>170407.930227</v>
      </c>
      <c r="AP10" s="15">
        <v>106708.924067</v>
      </c>
      <c r="AQ10" s="15">
        <v>134944.98987600001</v>
      </c>
      <c r="AR10" s="15">
        <v>135957.58815699999</v>
      </c>
      <c r="AS10" s="15">
        <v>106605.06524</v>
      </c>
      <c r="AT10" s="15">
        <v>114299.25980699999</v>
      </c>
      <c r="AU10" s="15">
        <v>126743.724414</v>
      </c>
      <c r="AV10" s="15">
        <v>138678.61890099899</v>
      </c>
      <c r="AW10" s="15">
        <v>119879.776365999</v>
      </c>
      <c r="AX10" s="15">
        <v>128330.214276999</v>
      </c>
      <c r="AY10" s="15">
        <v>138530.169937</v>
      </c>
      <c r="AZ10" s="15">
        <v>122004.587829</v>
      </c>
      <c r="BA10" s="15">
        <v>137204.66623599999</v>
      </c>
      <c r="BB10" s="15">
        <v>100904.132392</v>
      </c>
      <c r="BC10" s="15">
        <v>100999.34332</v>
      </c>
      <c r="BD10" s="15">
        <v>110580.09882499999</v>
      </c>
      <c r="BE10" s="15">
        <v>105924.03796099999</v>
      </c>
      <c r="BF10" s="15">
        <v>113702.182399999</v>
      </c>
      <c r="BG10" s="15">
        <v>107929.950281</v>
      </c>
      <c r="BH10" s="15">
        <v>110515.105923999</v>
      </c>
      <c r="BI10" s="15">
        <v>127600.87134899999</v>
      </c>
      <c r="BJ10" s="15">
        <v>123589.009154999</v>
      </c>
      <c r="BK10" s="15">
        <v>123061.044816999</v>
      </c>
      <c r="BL10" s="15">
        <v>135484.24395</v>
      </c>
      <c r="BM10" s="15">
        <v>142526.516868999</v>
      </c>
      <c r="BN10" s="15">
        <v>134200.204077</v>
      </c>
      <c r="BO10" s="15">
        <v>139961.65641299999</v>
      </c>
      <c r="BP10" s="15">
        <v>134272.13383000001</v>
      </c>
      <c r="BQ10" s="15">
        <v>126569.516674</v>
      </c>
      <c r="BR10" s="15">
        <v>131766.61545399899</v>
      </c>
      <c r="BS10" s="15">
        <v>111872.789767999</v>
      </c>
      <c r="BT10" s="15">
        <v>153258.84211500001</v>
      </c>
      <c r="BU10" s="15">
        <v>139874.20844299899</v>
      </c>
      <c r="BV10" s="15">
        <v>142276.91807799999</v>
      </c>
      <c r="BW10" s="15">
        <v>138469.93036699999</v>
      </c>
      <c r="BX10" s="16">
        <f t="shared" si="0"/>
        <v>126078.01556191762</v>
      </c>
      <c r="CH10" s="17">
        <v>176092.425961</v>
      </c>
    </row>
    <row r="11" spans="1:86" x14ac:dyDescent="0.2">
      <c r="A11" s="12" t="s">
        <v>89</v>
      </c>
      <c r="B11" s="13" t="s">
        <v>90</v>
      </c>
      <c r="C11" s="14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6">
        <f t="shared" si="0"/>
        <v>0</v>
      </c>
      <c r="CH11" s="17">
        <v>0</v>
      </c>
    </row>
    <row r="12" spans="1:86" x14ac:dyDescent="0.2">
      <c r="A12" s="12" t="s">
        <v>91</v>
      </c>
      <c r="B12" s="13" t="s">
        <v>91</v>
      </c>
      <c r="C12" s="14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6">
        <f t="shared" si="0"/>
        <v>0</v>
      </c>
      <c r="CH12" s="17">
        <v>0</v>
      </c>
    </row>
    <row r="13" spans="1:86" x14ac:dyDescent="0.2">
      <c r="A13" s="12" t="s">
        <v>92</v>
      </c>
      <c r="B13" s="13" t="s">
        <v>92</v>
      </c>
      <c r="C13" s="14">
        <v>3.6420000000000001E-2</v>
      </c>
      <c r="D13" s="15">
        <v>0.173959</v>
      </c>
      <c r="E13" s="15">
        <v>0.20281399999999999</v>
      </c>
      <c r="F13" s="15">
        <v>0.19681599999999999</v>
      </c>
      <c r="G13" s="15">
        <v>2.2959999999999901E-2</v>
      </c>
      <c r="H13" s="15">
        <v>1.17729999999999E-2</v>
      </c>
      <c r="I13" s="15">
        <v>0.22605699999999901</v>
      </c>
      <c r="J13" s="15">
        <v>0.134441</v>
      </c>
      <c r="K13" s="15">
        <v>0.19475799999999999</v>
      </c>
      <c r="L13" s="15">
        <v>0.205817</v>
      </c>
      <c r="M13" s="15">
        <v>3.9593999999999997E-2</v>
      </c>
      <c r="N13" s="15">
        <v>5.1166999999999997E-2</v>
      </c>
      <c r="O13" s="15">
        <v>3.1529999999999898E-2</v>
      </c>
      <c r="P13" s="15">
        <v>3.0242999999999999E-2</v>
      </c>
      <c r="Q13" s="15">
        <v>2.4690999999999901E-2</v>
      </c>
      <c r="R13" s="15">
        <v>2.3560999999999999E-2</v>
      </c>
      <c r="S13" s="15">
        <v>2.82569999999999E-2</v>
      </c>
      <c r="T13" s="15">
        <v>1.9696999999999999E-2</v>
      </c>
      <c r="U13" s="15">
        <v>2.5613999999999901E-2</v>
      </c>
      <c r="V13" s="15">
        <v>2.1876E-2</v>
      </c>
      <c r="W13" s="15">
        <v>1.9292E-2</v>
      </c>
      <c r="X13" s="15">
        <v>2.4108999999999998E-2</v>
      </c>
      <c r="Y13" s="15">
        <v>3.1814000000000002E-2</v>
      </c>
      <c r="Z13" s="15">
        <v>2.2431E-2</v>
      </c>
      <c r="AA13" s="15">
        <v>2.1728999999999998E-2</v>
      </c>
      <c r="AB13" s="15">
        <v>2.2681E-2</v>
      </c>
      <c r="AC13" s="15">
        <v>0.30066399999999999</v>
      </c>
      <c r="AD13" s="15">
        <v>0.34127799999999903</v>
      </c>
      <c r="AE13" s="15">
        <v>4.3554999999999899E-2</v>
      </c>
      <c r="AF13" s="15">
        <v>2.3438999999999901E-2</v>
      </c>
      <c r="AG13" s="15">
        <v>2.3199999999999998E-2</v>
      </c>
      <c r="AH13" s="15">
        <v>2.2488999999999999E-2</v>
      </c>
      <c r="AI13" s="15">
        <v>3.3750999999999899E-2</v>
      </c>
      <c r="AJ13" s="15">
        <v>2.4011999999999999E-2</v>
      </c>
      <c r="AK13" s="15">
        <v>2.4041E-2</v>
      </c>
      <c r="AL13" s="15">
        <v>2.9588E-2</v>
      </c>
      <c r="AM13" s="15">
        <v>2.5430999999999999E-2</v>
      </c>
      <c r="AN13" s="15">
        <v>1.8204999999999999E-2</v>
      </c>
      <c r="AO13" s="15">
        <v>3.3666999999999898E-2</v>
      </c>
      <c r="AP13" s="15">
        <v>2.2702E-2</v>
      </c>
      <c r="AQ13" s="15">
        <v>2.37089999999999E-2</v>
      </c>
      <c r="AR13" s="15">
        <v>2.4237999999999999E-2</v>
      </c>
      <c r="AS13" s="15">
        <v>2.2825999999999999E-2</v>
      </c>
      <c r="AT13" s="15">
        <v>2.3976999999999998E-2</v>
      </c>
      <c r="AU13" s="15">
        <v>1.88869999999999E-2</v>
      </c>
      <c r="AV13" s="15">
        <v>2.5682E-2</v>
      </c>
      <c r="AW13" s="15">
        <v>3.0779999999999998E-2</v>
      </c>
      <c r="AX13" s="15">
        <v>2.6705E-2</v>
      </c>
      <c r="AY13" s="15">
        <v>2.3361E-2</v>
      </c>
      <c r="AZ13" s="15">
        <v>1.7592E-2</v>
      </c>
      <c r="BA13" s="15">
        <v>1.9757E-2</v>
      </c>
      <c r="BB13" s="15">
        <v>2.8107E-2</v>
      </c>
      <c r="BC13" s="15">
        <v>2.1117E-2</v>
      </c>
      <c r="BD13" s="15">
        <v>2.7226E-2</v>
      </c>
      <c r="BE13" s="15">
        <v>2.6574E-2</v>
      </c>
      <c r="BF13" s="15">
        <v>2.18009999999999E-2</v>
      </c>
      <c r="BG13" s="15">
        <v>2.1988999999999901E-2</v>
      </c>
      <c r="BH13" s="15">
        <v>2.5804999999999901E-2</v>
      </c>
      <c r="BI13" s="15">
        <v>2.5037E-2</v>
      </c>
      <c r="BJ13" s="15">
        <v>2.72959999999999E-2</v>
      </c>
      <c r="BK13" s="15">
        <v>2.4E-2</v>
      </c>
      <c r="BL13" s="15">
        <v>2.94329999999999E-2</v>
      </c>
      <c r="BM13" s="15">
        <v>2.1662999999999901E-2</v>
      </c>
      <c r="BN13" s="15">
        <v>1.6798E-2</v>
      </c>
      <c r="BO13" s="15">
        <v>2.99219999999999E-2</v>
      </c>
      <c r="BP13" s="15">
        <v>1.9363999999999999E-2</v>
      </c>
      <c r="BQ13" s="15">
        <v>1.4893E-2</v>
      </c>
      <c r="BR13" s="15">
        <v>1.6695999999999999E-2</v>
      </c>
      <c r="BS13" s="15">
        <v>1.3099E-2</v>
      </c>
      <c r="BT13" s="15">
        <v>2.3944E-2</v>
      </c>
      <c r="BU13" s="15">
        <v>2.2737999999999901E-2</v>
      </c>
      <c r="BV13" s="15">
        <v>1.9691E-2</v>
      </c>
      <c r="BW13" s="15">
        <v>0.24748699999999901</v>
      </c>
      <c r="BX13" s="16">
        <f t="shared" si="0"/>
        <v>5.194954794520542E-2</v>
      </c>
      <c r="CH13" s="17">
        <v>1.5571E-2</v>
      </c>
    </row>
    <row r="14" spans="1:86" x14ac:dyDescent="0.2">
      <c r="A14" s="12" t="s">
        <v>93</v>
      </c>
      <c r="B14" s="13" t="s">
        <v>93</v>
      </c>
      <c r="C14" s="14">
        <v>7.3786679999999896</v>
      </c>
      <c r="D14" s="15">
        <v>3.999898</v>
      </c>
      <c r="E14" s="15">
        <v>3.5988769999999999</v>
      </c>
      <c r="F14" s="15">
        <v>4.8653599999999999</v>
      </c>
      <c r="G14" s="15">
        <v>2.753539</v>
      </c>
      <c r="H14" s="15">
        <v>3.097864</v>
      </c>
      <c r="I14" s="15">
        <v>5.2074859999999896</v>
      </c>
      <c r="J14" s="15">
        <v>1.406525</v>
      </c>
      <c r="K14" s="15">
        <v>1.7804139999999999</v>
      </c>
      <c r="L14" s="15">
        <v>2.4691339999999999</v>
      </c>
      <c r="M14" s="15">
        <v>6.9920499999999999</v>
      </c>
      <c r="N14" s="15">
        <v>8.7332059999999991</v>
      </c>
      <c r="O14" s="15">
        <v>5.322476</v>
      </c>
      <c r="P14" s="15">
        <v>3.0307629999999999</v>
      </c>
      <c r="Q14" s="15">
        <v>5.1498349999999897</v>
      </c>
      <c r="R14" s="15">
        <v>5.279439</v>
      </c>
      <c r="S14" s="15">
        <v>5.9781309999999896</v>
      </c>
      <c r="T14" s="15">
        <v>2.9591379999999998</v>
      </c>
      <c r="U14" s="15">
        <v>3.514783</v>
      </c>
      <c r="V14" s="15">
        <v>2.8578539999999899</v>
      </c>
      <c r="W14" s="15">
        <v>5.0443059999999997</v>
      </c>
      <c r="X14" s="15">
        <v>5.5358559999999999</v>
      </c>
      <c r="Y14" s="15">
        <v>7.2674069999999897</v>
      </c>
      <c r="Z14" s="15">
        <v>5.1009859999999998</v>
      </c>
      <c r="AA14" s="15">
        <v>5.7001520000000001</v>
      </c>
      <c r="AB14" s="15">
        <v>5.5672869999999897</v>
      </c>
      <c r="AC14" s="15">
        <v>2.306073</v>
      </c>
      <c r="AD14" s="15">
        <v>2.7398020000000001</v>
      </c>
      <c r="AE14" s="15">
        <v>7.2305169999999999</v>
      </c>
      <c r="AF14" s="15">
        <v>4.9087860000000001</v>
      </c>
      <c r="AG14" s="15">
        <v>5.2691629999999998</v>
      </c>
      <c r="AH14" s="15">
        <v>5.3989409999999998</v>
      </c>
      <c r="AI14" s="15">
        <v>5.456302</v>
      </c>
      <c r="AJ14" s="15">
        <v>5.0520350000000001</v>
      </c>
      <c r="AK14" s="15">
        <v>5.6904750000000002</v>
      </c>
      <c r="AL14" s="15">
        <v>6.6142539999999999</v>
      </c>
      <c r="AM14" s="15">
        <v>3.7313619999999998</v>
      </c>
      <c r="AN14" s="15">
        <v>2.02178999999999</v>
      </c>
      <c r="AO14" s="15">
        <v>3.7259139999999999</v>
      </c>
      <c r="AP14" s="15">
        <v>3.0728549999999899</v>
      </c>
      <c r="AQ14" s="15">
        <v>2.5712660000000001</v>
      </c>
      <c r="AR14" s="15">
        <v>3.3959609999999998</v>
      </c>
      <c r="AS14" s="15">
        <v>5.4520979999999897</v>
      </c>
      <c r="AT14" s="15">
        <v>5.6521349999999897</v>
      </c>
      <c r="AU14" s="15">
        <v>4.6409979999999997</v>
      </c>
      <c r="AV14" s="15">
        <v>6.013369</v>
      </c>
      <c r="AW14" s="15">
        <v>4.7884700000000002</v>
      </c>
      <c r="AX14" s="15">
        <v>5.6504370000000002</v>
      </c>
      <c r="AY14" s="15">
        <v>5.7782839999999904</v>
      </c>
      <c r="AZ14" s="15">
        <v>4.7905579999999999</v>
      </c>
      <c r="BA14" s="15">
        <v>5.4046779999999996</v>
      </c>
      <c r="BB14" s="15">
        <v>3.8850909999999899</v>
      </c>
      <c r="BC14" s="15">
        <v>5.0489439999999997</v>
      </c>
      <c r="BD14" s="15">
        <v>5.4907149999999998</v>
      </c>
      <c r="BE14" s="15">
        <v>5.5553939999999997</v>
      </c>
      <c r="BF14" s="15">
        <v>5.3323119999999999</v>
      </c>
      <c r="BG14" s="15">
        <v>4.9443820000000001</v>
      </c>
      <c r="BH14" s="15">
        <v>4.9506449999999997</v>
      </c>
      <c r="BI14" s="15">
        <v>5.6971239999999996</v>
      </c>
      <c r="BJ14" s="15">
        <v>5.7475339999999999</v>
      </c>
      <c r="BK14" s="15">
        <v>6.5785599999999897</v>
      </c>
      <c r="BL14" s="15">
        <v>6.4579639999999996</v>
      </c>
      <c r="BM14" s="15">
        <v>5.2163379999999897</v>
      </c>
      <c r="BN14" s="15">
        <v>4.9205699999999997</v>
      </c>
      <c r="BO14" s="15">
        <v>7.0246889999999897</v>
      </c>
      <c r="BP14" s="15">
        <v>5.1231209999999896</v>
      </c>
      <c r="BQ14" s="15">
        <v>4.7200249999999997</v>
      </c>
      <c r="BR14" s="15">
        <v>4.8681999999999999</v>
      </c>
      <c r="BS14" s="15">
        <v>3.79787699999999</v>
      </c>
      <c r="BT14" s="15">
        <v>5.7958949999999998</v>
      </c>
      <c r="BU14" s="15">
        <v>5.4164729999999999</v>
      </c>
      <c r="BV14" s="15">
        <v>5.3794789999999999</v>
      </c>
      <c r="BW14" s="15">
        <v>1.8595249999999901</v>
      </c>
      <c r="BX14" s="16">
        <f t="shared" si="0"/>
        <v>4.8186138904109539</v>
      </c>
      <c r="CH14" s="17">
        <v>1.54152</v>
      </c>
    </row>
    <row r="15" spans="1:86" x14ac:dyDescent="0.2">
      <c r="A15" s="12" t="s">
        <v>94</v>
      </c>
      <c r="B15" s="13" t="s">
        <v>94</v>
      </c>
      <c r="C15" s="14">
        <v>608.51326599999902</v>
      </c>
      <c r="D15" s="15">
        <v>332.338596</v>
      </c>
      <c r="E15" s="15">
        <v>368.86357399999901</v>
      </c>
      <c r="F15" s="15">
        <v>364.544985</v>
      </c>
      <c r="G15" s="15">
        <v>372.26185799999899</v>
      </c>
      <c r="H15" s="15">
        <v>320.884109999999</v>
      </c>
      <c r="I15" s="15">
        <v>423.17668099999997</v>
      </c>
      <c r="J15" s="15">
        <v>535.96644700000002</v>
      </c>
      <c r="K15" s="15">
        <v>484.22329999999999</v>
      </c>
      <c r="L15" s="15">
        <v>503.64934199999999</v>
      </c>
      <c r="M15" s="15">
        <v>474.17741100000001</v>
      </c>
      <c r="N15" s="15">
        <v>644.26279799999998</v>
      </c>
      <c r="O15" s="15">
        <v>467.34955499999899</v>
      </c>
      <c r="P15" s="15">
        <v>424.69227699999999</v>
      </c>
      <c r="Q15" s="15">
        <v>443.63157100000001</v>
      </c>
      <c r="R15" s="15">
        <v>363.53808099999998</v>
      </c>
      <c r="S15" s="15">
        <v>383.31780199999997</v>
      </c>
      <c r="T15" s="15">
        <v>323.131677999999</v>
      </c>
      <c r="U15" s="15">
        <v>356.16459800000001</v>
      </c>
      <c r="V15" s="15">
        <v>354.531203</v>
      </c>
      <c r="W15" s="15">
        <v>375.43395999999899</v>
      </c>
      <c r="X15" s="15">
        <v>375.457763</v>
      </c>
      <c r="Y15" s="15">
        <v>512.23675700000001</v>
      </c>
      <c r="Z15" s="15">
        <v>400.06044800000001</v>
      </c>
      <c r="AA15" s="15">
        <v>433.01783699999999</v>
      </c>
      <c r="AB15" s="15">
        <v>422.81369799999999</v>
      </c>
      <c r="AC15" s="15">
        <v>340.74285699999899</v>
      </c>
      <c r="AD15" s="15">
        <v>434.68279699999999</v>
      </c>
      <c r="AE15" s="15">
        <v>578.28076499999997</v>
      </c>
      <c r="AF15" s="15">
        <v>322.322621999999</v>
      </c>
      <c r="AG15" s="15">
        <v>371.05902799999899</v>
      </c>
      <c r="AH15" s="15">
        <v>402.15666499999998</v>
      </c>
      <c r="AI15" s="15">
        <v>405.867637</v>
      </c>
      <c r="AJ15" s="15">
        <v>384.39254199999999</v>
      </c>
      <c r="AK15" s="15">
        <v>393.04413299999999</v>
      </c>
      <c r="AL15" s="15">
        <v>504.78260299999999</v>
      </c>
      <c r="AM15" s="15">
        <v>394.43694199999999</v>
      </c>
      <c r="AN15" s="15">
        <v>360.354941</v>
      </c>
      <c r="AO15" s="15">
        <v>567.10856899999999</v>
      </c>
      <c r="AP15" s="15">
        <v>355.67618299999998</v>
      </c>
      <c r="AQ15" s="15">
        <v>449.202133</v>
      </c>
      <c r="AR15" s="15">
        <v>452.89759199999997</v>
      </c>
      <c r="AS15" s="15">
        <v>355.84399999999999</v>
      </c>
      <c r="AT15" s="15">
        <v>381.88440499999899</v>
      </c>
      <c r="AU15" s="15">
        <v>421.77321000000001</v>
      </c>
      <c r="AV15" s="15">
        <v>461.28967599999999</v>
      </c>
      <c r="AW15" s="15">
        <v>399.988709999999</v>
      </c>
      <c r="AX15" s="15">
        <v>428.13905399999999</v>
      </c>
      <c r="AY15" s="15">
        <v>457.64569299999999</v>
      </c>
      <c r="AZ15" s="15">
        <v>401.50089499999899</v>
      </c>
      <c r="BA15" s="15">
        <v>453.887854</v>
      </c>
      <c r="BB15" s="15">
        <v>335.749978</v>
      </c>
      <c r="BC15" s="15">
        <v>336.71174199999899</v>
      </c>
      <c r="BD15" s="15">
        <v>368.535223999999</v>
      </c>
      <c r="BE15" s="15">
        <v>353.539028999999</v>
      </c>
      <c r="BF15" s="15">
        <v>378.38783599999999</v>
      </c>
      <c r="BG15" s="15">
        <v>359.36060699999899</v>
      </c>
      <c r="BH15" s="15">
        <v>368.66002699999899</v>
      </c>
      <c r="BI15" s="15">
        <v>426.060734999999</v>
      </c>
      <c r="BJ15" s="15">
        <v>413.01088199999998</v>
      </c>
      <c r="BK15" s="15">
        <v>410.23054400000001</v>
      </c>
      <c r="BL15" s="15">
        <v>451.90076499999998</v>
      </c>
      <c r="BM15" s="15">
        <v>474.089044</v>
      </c>
      <c r="BN15" s="15">
        <v>446.525916</v>
      </c>
      <c r="BO15" s="15">
        <v>467.28206699999998</v>
      </c>
      <c r="BP15" s="15">
        <v>446.65797699999899</v>
      </c>
      <c r="BQ15" s="15">
        <v>421.37536499999999</v>
      </c>
      <c r="BR15" s="15">
        <v>438.934237</v>
      </c>
      <c r="BS15" s="15">
        <v>372.41339199999999</v>
      </c>
      <c r="BT15" s="15">
        <v>510.370418999999</v>
      </c>
      <c r="BU15" s="15">
        <v>465.827991</v>
      </c>
      <c r="BV15" s="15">
        <v>473.79879999999901</v>
      </c>
      <c r="BW15" s="15">
        <v>462.37113099999999</v>
      </c>
      <c r="BX15" s="16">
        <f t="shared" si="0"/>
        <v>420.94513438356125</v>
      </c>
      <c r="CH15" s="17">
        <v>587.28200500000003</v>
      </c>
    </row>
    <row r="16" spans="1:86" ht="17" thickBot="1" x14ac:dyDescent="0.25">
      <c r="A16" s="18" t="s">
        <v>95</v>
      </c>
      <c r="B16" s="19" t="s">
        <v>95</v>
      </c>
      <c r="C16" s="14">
        <v>2.8094459999999999</v>
      </c>
      <c r="D16" s="15">
        <v>3.18449599999999</v>
      </c>
      <c r="E16" s="15">
        <v>3.2016499999999999</v>
      </c>
      <c r="F16" s="15">
        <v>3.923762</v>
      </c>
      <c r="G16" s="15">
        <v>7.8087789999999897</v>
      </c>
      <c r="H16" s="15">
        <v>4.8161769999999997</v>
      </c>
      <c r="I16" s="15">
        <v>4.2497099999999897</v>
      </c>
      <c r="J16" s="15">
        <v>1.5216349999999901</v>
      </c>
      <c r="K16" s="15">
        <v>1.5528229999999901</v>
      </c>
      <c r="L16" s="15">
        <v>1.7957019999999999</v>
      </c>
      <c r="M16" s="15">
        <v>2.4293979999999999</v>
      </c>
      <c r="N16" s="15">
        <v>3.0815809999999999</v>
      </c>
      <c r="O16" s="15">
        <v>9.0444789999999902</v>
      </c>
      <c r="P16" s="15">
        <v>8.3012189999999997</v>
      </c>
      <c r="Q16" s="15">
        <v>8.4665509999999902</v>
      </c>
      <c r="R16" s="15">
        <v>6.6752419999999999</v>
      </c>
      <c r="S16" s="15">
        <v>7.3075779999999897</v>
      </c>
      <c r="T16" s="15">
        <v>5.9284020000000002</v>
      </c>
      <c r="U16" s="15">
        <v>6.8370899999999999</v>
      </c>
      <c r="V16" s="15">
        <v>6.840598</v>
      </c>
      <c r="W16" s="15">
        <v>1.8198749999999999</v>
      </c>
      <c r="X16" s="15">
        <v>1.841742</v>
      </c>
      <c r="Y16" s="15">
        <v>2.4879159999999998</v>
      </c>
      <c r="Z16" s="15">
        <v>6.508915</v>
      </c>
      <c r="AA16" s="15">
        <v>7.6013639999999896</v>
      </c>
      <c r="AB16" s="15">
        <v>7.077013</v>
      </c>
      <c r="AC16" s="15">
        <v>2.336084</v>
      </c>
      <c r="AD16" s="15">
        <v>2.817707</v>
      </c>
      <c r="AE16" s="15">
        <v>2.739773</v>
      </c>
      <c r="AF16" s="15">
        <v>4.8597849999999996</v>
      </c>
      <c r="AG16" s="15">
        <v>5.4498410000000002</v>
      </c>
      <c r="AH16" s="15">
        <v>6.7610570000000001</v>
      </c>
      <c r="AI16" s="15">
        <v>10.481866</v>
      </c>
      <c r="AJ16" s="15">
        <v>7.6170549999999997</v>
      </c>
      <c r="AK16" s="15">
        <v>2.0327449999999998</v>
      </c>
      <c r="AL16" s="15">
        <v>2.3174009999999998</v>
      </c>
      <c r="AM16" s="15">
        <v>8.4274810000000002</v>
      </c>
      <c r="AN16" s="15">
        <v>7.8996689999999896</v>
      </c>
      <c r="AO16" s="15">
        <v>11.956899</v>
      </c>
      <c r="AP16" s="15">
        <v>7.3847569999999996</v>
      </c>
      <c r="AQ16" s="15">
        <v>8.6448020000000003</v>
      </c>
      <c r="AR16" s="15">
        <v>8.945983</v>
      </c>
      <c r="AS16" s="15">
        <v>5.1678249999999997</v>
      </c>
      <c r="AT16" s="15">
        <v>5.3924219999999998</v>
      </c>
      <c r="AU16" s="15">
        <v>6.0234480000000001</v>
      </c>
      <c r="AV16" s="15">
        <v>9.0730629999999994</v>
      </c>
      <c r="AW16" s="15">
        <v>5.1895519999999999</v>
      </c>
      <c r="AX16" s="15">
        <v>7.4012869999999999</v>
      </c>
      <c r="AY16" s="15">
        <v>14.350396</v>
      </c>
      <c r="AZ16" s="15">
        <v>14.521666</v>
      </c>
      <c r="BA16" s="15">
        <v>12.504368999999899</v>
      </c>
      <c r="BB16" s="15">
        <v>6.9418639999999998</v>
      </c>
      <c r="BC16" s="15">
        <v>5.8065069999999999</v>
      </c>
      <c r="BD16" s="15">
        <v>6.722404</v>
      </c>
      <c r="BE16" s="15">
        <v>6.2154859999999896</v>
      </c>
      <c r="BF16" s="15">
        <v>6.8287740000000001</v>
      </c>
      <c r="BG16" s="15">
        <v>6.48264</v>
      </c>
      <c r="BH16" s="15">
        <v>6.100911</v>
      </c>
      <c r="BI16" s="15">
        <v>6.6758410000000001</v>
      </c>
      <c r="BJ16" s="15">
        <v>6.0497030000000001</v>
      </c>
      <c r="BK16" s="15">
        <v>8.6261209999999995</v>
      </c>
      <c r="BL16" s="15">
        <v>8.4196679999999997</v>
      </c>
      <c r="BM16" s="15">
        <v>7.2337539999999896</v>
      </c>
      <c r="BN16" s="15">
        <v>6.527997</v>
      </c>
      <c r="BO16" s="15">
        <v>7.6819319999999998</v>
      </c>
      <c r="BP16" s="15">
        <v>6.8203519999999997</v>
      </c>
      <c r="BQ16" s="15">
        <v>5.5498649999999996</v>
      </c>
      <c r="BR16" s="15">
        <v>6.1723229999999996</v>
      </c>
      <c r="BS16" s="15">
        <v>6.4070830000000001</v>
      </c>
      <c r="BT16" s="15">
        <v>7.3588429999999896</v>
      </c>
      <c r="BU16" s="15">
        <v>6.8869309999999997</v>
      </c>
      <c r="BV16" s="15">
        <v>6.7431179999999999</v>
      </c>
      <c r="BW16" s="15">
        <v>1.950801</v>
      </c>
      <c r="BX16" s="16">
        <f t="shared" si="0"/>
        <v>6.1864793698630116</v>
      </c>
      <c r="CH16" s="17">
        <v>5.2328779999999897</v>
      </c>
    </row>
    <row r="17" spans="1:86" s="2" customFormat="1" ht="20" thickBot="1" x14ac:dyDescent="0.3">
      <c r="A17" s="20" t="s">
        <v>96</v>
      </c>
      <c r="B17" s="3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CH17" s="22"/>
    </row>
    <row r="18" spans="1:86" x14ac:dyDescent="0.2">
      <c r="A18" s="6" t="s">
        <v>97</v>
      </c>
      <c r="B18" s="7"/>
      <c r="C18" s="8" t="s">
        <v>2</v>
      </c>
      <c r="D18" s="9" t="s">
        <v>3</v>
      </c>
      <c r="E18" s="9" t="s">
        <v>4</v>
      </c>
      <c r="F18" s="9" t="s">
        <v>5</v>
      </c>
      <c r="G18" s="9" t="s">
        <v>6</v>
      </c>
      <c r="H18" s="9" t="s">
        <v>7</v>
      </c>
      <c r="I18" s="9" t="s">
        <v>8</v>
      </c>
      <c r="J18" s="9" t="s">
        <v>9</v>
      </c>
      <c r="K18" s="9" t="s">
        <v>10</v>
      </c>
      <c r="L18" s="9" t="s">
        <v>11</v>
      </c>
      <c r="M18" s="9" t="s">
        <v>12</v>
      </c>
      <c r="N18" s="9" t="s">
        <v>13</v>
      </c>
      <c r="O18" s="9" t="s">
        <v>14</v>
      </c>
      <c r="P18" s="9" t="s">
        <v>15</v>
      </c>
      <c r="Q18" s="9" t="s">
        <v>16</v>
      </c>
      <c r="R18" s="9" t="s">
        <v>17</v>
      </c>
      <c r="S18" s="9" t="s">
        <v>18</v>
      </c>
      <c r="T18" s="9" t="s">
        <v>19</v>
      </c>
      <c r="U18" s="9" t="s">
        <v>20</v>
      </c>
      <c r="V18" s="9" t="s">
        <v>21</v>
      </c>
      <c r="W18" s="9" t="s">
        <v>22</v>
      </c>
      <c r="X18" s="9" t="s">
        <v>23</v>
      </c>
      <c r="Y18" s="9" t="s">
        <v>24</v>
      </c>
      <c r="Z18" s="9" t="s">
        <v>25</v>
      </c>
      <c r="AA18" s="9" t="s">
        <v>26</v>
      </c>
      <c r="AB18" s="9" t="s">
        <v>27</v>
      </c>
      <c r="AC18" s="9" t="s">
        <v>28</v>
      </c>
      <c r="AD18" s="9" t="s">
        <v>29</v>
      </c>
      <c r="AE18" s="9" t="s">
        <v>30</v>
      </c>
      <c r="AF18" s="9" t="s">
        <v>31</v>
      </c>
      <c r="AG18" s="9" t="s">
        <v>32</v>
      </c>
      <c r="AH18" s="9" t="s">
        <v>33</v>
      </c>
      <c r="AI18" s="9" t="s">
        <v>34</v>
      </c>
      <c r="AJ18" s="9" t="s">
        <v>35</v>
      </c>
      <c r="AK18" s="9" t="s">
        <v>36</v>
      </c>
      <c r="AL18" s="9" t="s">
        <v>37</v>
      </c>
      <c r="AM18" s="9" t="s">
        <v>38</v>
      </c>
      <c r="AN18" s="9" t="s">
        <v>39</v>
      </c>
      <c r="AO18" s="9" t="s">
        <v>40</v>
      </c>
      <c r="AP18" s="9" t="s">
        <v>41</v>
      </c>
      <c r="AQ18" s="9" t="s">
        <v>42</v>
      </c>
      <c r="AR18" s="9" t="s">
        <v>43</v>
      </c>
      <c r="AS18" s="9" t="s">
        <v>44</v>
      </c>
      <c r="AT18" s="9" t="s">
        <v>45</v>
      </c>
      <c r="AU18" s="9" t="s">
        <v>46</v>
      </c>
      <c r="AV18" s="9" t="s">
        <v>47</v>
      </c>
      <c r="AW18" s="9" t="s">
        <v>48</v>
      </c>
      <c r="AX18" s="9" t="s">
        <v>49</v>
      </c>
      <c r="AY18" s="9" t="s">
        <v>50</v>
      </c>
      <c r="AZ18" s="9" t="s">
        <v>51</v>
      </c>
      <c r="BA18" s="9" t="s">
        <v>52</v>
      </c>
      <c r="BB18" s="9" t="s">
        <v>53</v>
      </c>
      <c r="BC18" s="9" t="s">
        <v>54</v>
      </c>
      <c r="BD18" s="9" t="s">
        <v>55</v>
      </c>
      <c r="BE18" s="9" t="s">
        <v>56</v>
      </c>
      <c r="BF18" s="9" t="s">
        <v>57</v>
      </c>
      <c r="BG18" s="9" t="s">
        <v>58</v>
      </c>
      <c r="BH18" s="9" t="s">
        <v>59</v>
      </c>
      <c r="BI18" s="9" t="s">
        <v>60</v>
      </c>
      <c r="BJ18" s="9" t="s">
        <v>61</v>
      </c>
      <c r="BK18" s="9" t="s">
        <v>62</v>
      </c>
      <c r="BL18" s="9" t="s">
        <v>63</v>
      </c>
      <c r="BM18" s="9" t="s">
        <v>64</v>
      </c>
      <c r="BN18" s="9" t="s">
        <v>65</v>
      </c>
      <c r="BO18" s="9" t="s">
        <v>66</v>
      </c>
      <c r="BP18" s="9" t="s">
        <v>67</v>
      </c>
      <c r="BQ18" s="9" t="s">
        <v>68</v>
      </c>
      <c r="BR18" s="9" t="s">
        <v>69</v>
      </c>
      <c r="BS18" s="9" t="s">
        <v>70</v>
      </c>
      <c r="BT18" s="9" t="s">
        <v>71</v>
      </c>
      <c r="BU18" s="9" t="s">
        <v>72</v>
      </c>
      <c r="BV18" s="9" t="s">
        <v>73</v>
      </c>
      <c r="BW18" s="9" t="s">
        <v>74</v>
      </c>
      <c r="BX18" s="10" t="s">
        <v>75</v>
      </c>
      <c r="CH18" s="11" t="s">
        <v>76</v>
      </c>
    </row>
    <row r="19" spans="1:86" x14ac:dyDescent="0.2">
      <c r="A19" s="12" t="s">
        <v>77</v>
      </c>
      <c r="B19" s="13" t="s">
        <v>77</v>
      </c>
      <c r="C19" s="14">
        <v>1247.989842</v>
      </c>
      <c r="D19" s="15">
        <v>684.47215199999903</v>
      </c>
      <c r="E19" s="15">
        <v>756.578936</v>
      </c>
      <c r="F19" s="15">
        <v>752.09794199999999</v>
      </c>
      <c r="G19" s="15">
        <v>772.39188000000001</v>
      </c>
      <c r="H19" s="15">
        <v>662.64363600000001</v>
      </c>
      <c r="I19" s="15">
        <v>871.70927599999902</v>
      </c>
      <c r="J19" s="15">
        <v>1085.851052</v>
      </c>
      <c r="K19" s="15">
        <v>982.76195799999903</v>
      </c>
      <c r="L19" s="15">
        <v>1023.73085199999</v>
      </c>
      <c r="M19" s="15">
        <v>975.16445999999996</v>
      </c>
      <c r="N19" s="15">
        <v>1322.8038039999999</v>
      </c>
      <c r="O19" s="15">
        <v>971.187276</v>
      </c>
      <c r="P19" s="15">
        <v>878.69544999999903</v>
      </c>
      <c r="Q19" s="15">
        <v>921.42840200000001</v>
      </c>
      <c r="R19" s="15">
        <v>756.52893599999902</v>
      </c>
      <c r="S19" s="15">
        <v>799.83512199999996</v>
      </c>
      <c r="T19" s="15">
        <v>669.35764599999902</v>
      </c>
      <c r="U19" s="15">
        <v>738.31547</v>
      </c>
      <c r="V19" s="15">
        <v>734.67322999999999</v>
      </c>
      <c r="W19" s="15">
        <v>770.33375799999999</v>
      </c>
      <c r="X19" s="15">
        <v>772.34294999999997</v>
      </c>
      <c r="Y19" s="15">
        <v>1051.5112019999999</v>
      </c>
      <c r="Z19" s="15">
        <v>830.119866</v>
      </c>
      <c r="AA19" s="15">
        <v>899.68062999999995</v>
      </c>
      <c r="AB19" s="15">
        <v>878.60924199999999</v>
      </c>
      <c r="AC19" s="15">
        <v>696.71600599999999</v>
      </c>
      <c r="AD19" s="15">
        <v>887.92724599999997</v>
      </c>
      <c r="AE19" s="15">
        <v>1185.208014</v>
      </c>
      <c r="AF19" s="15">
        <v>669.51970799999901</v>
      </c>
      <c r="AG19" s="15">
        <v>769.65728000000001</v>
      </c>
      <c r="AH19" s="15">
        <v>835.24624799999901</v>
      </c>
      <c r="AI19" s="15">
        <v>849.836412</v>
      </c>
      <c r="AJ19" s="15">
        <v>800.416068</v>
      </c>
      <c r="AK19" s="15">
        <v>808.444346</v>
      </c>
      <c r="AL19" s="15">
        <v>1036.2587019999901</v>
      </c>
      <c r="AM19" s="15">
        <v>820.404582</v>
      </c>
      <c r="AN19" s="15">
        <v>746.77368000000001</v>
      </c>
      <c r="AO19" s="15">
        <v>1175.062944</v>
      </c>
      <c r="AP19" s="15">
        <v>737.97275000000002</v>
      </c>
      <c r="AQ19" s="15">
        <v>927.22719999999902</v>
      </c>
      <c r="AR19" s="15">
        <v>938.180509999999</v>
      </c>
      <c r="AS19" s="15">
        <v>739.05491599999903</v>
      </c>
      <c r="AT19" s="15">
        <v>792.69498599999997</v>
      </c>
      <c r="AU19" s="15">
        <v>871.33024999999998</v>
      </c>
      <c r="AV19" s="15">
        <v>959.14556399999901</v>
      </c>
      <c r="AW19" s="15">
        <v>822.06139199999996</v>
      </c>
      <c r="AX19" s="15">
        <v>889.45669199999998</v>
      </c>
      <c r="AY19" s="15">
        <v>963.51405999999997</v>
      </c>
      <c r="AZ19" s="15">
        <v>848.32466599999998</v>
      </c>
      <c r="BA19" s="15">
        <v>951.91148999999996</v>
      </c>
      <c r="BB19" s="15">
        <v>698.74603999999999</v>
      </c>
      <c r="BC19" s="15">
        <v>700.66706799999997</v>
      </c>
      <c r="BD19" s="15">
        <v>767.95193999999901</v>
      </c>
      <c r="BE19" s="15">
        <v>736.21569399999998</v>
      </c>
      <c r="BF19" s="15">
        <v>787.37145199999998</v>
      </c>
      <c r="BG19" s="15">
        <v>747.25952199999995</v>
      </c>
      <c r="BH19" s="15">
        <v>765.09708000000001</v>
      </c>
      <c r="BI19" s="15">
        <v>884.14672999999902</v>
      </c>
      <c r="BJ19" s="15">
        <v>856.36258799999996</v>
      </c>
      <c r="BK19" s="15">
        <v>858.59706599999902</v>
      </c>
      <c r="BL19" s="15">
        <v>939.968794</v>
      </c>
      <c r="BM19" s="15">
        <v>979.768633999999</v>
      </c>
      <c r="BN19" s="15">
        <v>922.61174399999902</v>
      </c>
      <c r="BO19" s="15">
        <v>971.13430599999901</v>
      </c>
      <c r="BP19" s="15">
        <v>925.224865999999</v>
      </c>
      <c r="BQ19" s="15">
        <v>870.32202999999902</v>
      </c>
      <c r="BR19" s="15">
        <v>907.36839999999995</v>
      </c>
      <c r="BS19" s="15">
        <v>770.91323999999997</v>
      </c>
      <c r="BT19" s="15">
        <v>1055.6211060000001</v>
      </c>
      <c r="BU19" s="15">
        <v>964.08218799999997</v>
      </c>
      <c r="BV19" s="15">
        <v>980.150488</v>
      </c>
      <c r="BW19" s="15">
        <v>940.56547799999998</v>
      </c>
      <c r="BX19" s="16">
        <f>AVERAGE(C19:BW19)</f>
        <v>870.73023473972546</v>
      </c>
      <c r="CH19" s="17">
        <v>1197.0196539999999</v>
      </c>
    </row>
    <row r="20" spans="1:86" x14ac:dyDescent="0.2">
      <c r="A20" s="12" t="s">
        <v>78</v>
      </c>
      <c r="B20" s="13" t="s">
        <v>79</v>
      </c>
      <c r="C20" s="14">
        <v>1225.8375559999999</v>
      </c>
      <c r="D20" s="15">
        <v>671.69913199999996</v>
      </c>
      <c r="E20" s="15">
        <v>740.87813399999902</v>
      </c>
      <c r="F20" s="15">
        <v>737.44998999999996</v>
      </c>
      <c r="G20" s="15">
        <v>758.23964000000001</v>
      </c>
      <c r="H20" s="15">
        <v>651.17655600000001</v>
      </c>
      <c r="I20" s="15">
        <v>855.016076</v>
      </c>
      <c r="J20" s="15">
        <v>1067.0258139999901</v>
      </c>
      <c r="K20" s="15">
        <v>964.74999600000001</v>
      </c>
      <c r="L20" s="15">
        <v>1005.7979339999901</v>
      </c>
      <c r="M20" s="15">
        <v>958.79442399999903</v>
      </c>
      <c r="N20" s="15">
        <v>1299.999006</v>
      </c>
      <c r="O20" s="15">
        <v>954.17584999999997</v>
      </c>
      <c r="P20" s="15">
        <v>863.90126999999995</v>
      </c>
      <c r="Q20" s="15">
        <v>904.675704</v>
      </c>
      <c r="R20" s="15">
        <v>742.45876399999997</v>
      </c>
      <c r="S20" s="15">
        <v>784.97555199999999</v>
      </c>
      <c r="T20" s="15">
        <v>657.54283599999997</v>
      </c>
      <c r="U20" s="15">
        <v>724.33292999999901</v>
      </c>
      <c r="V20" s="15">
        <v>721.554126</v>
      </c>
      <c r="W20" s="15">
        <v>755.29801199999997</v>
      </c>
      <c r="X20" s="15">
        <v>758.20962199999997</v>
      </c>
      <c r="Y20" s="15">
        <v>1031.30153</v>
      </c>
      <c r="Z20" s="15">
        <v>815.75380999999902</v>
      </c>
      <c r="AA20" s="15">
        <v>883.09518399999899</v>
      </c>
      <c r="AB20" s="15">
        <v>863.38428199999998</v>
      </c>
      <c r="AC20" s="15">
        <v>684.47356200000002</v>
      </c>
      <c r="AD20" s="15">
        <v>871.57630999999901</v>
      </c>
      <c r="AE20" s="15">
        <v>1165.303928</v>
      </c>
      <c r="AF20" s="15">
        <v>657.550836</v>
      </c>
      <c r="AG20" s="15">
        <v>755.32261199999903</v>
      </c>
      <c r="AH20" s="15">
        <v>820.321677999999</v>
      </c>
      <c r="AI20" s="15">
        <v>834.52887799999996</v>
      </c>
      <c r="AJ20" s="15">
        <v>786.26765799999998</v>
      </c>
      <c r="AK20" s="15">
        <v>793.447935999999</v>
      </c>
      <c r="AL20" s="15">
        <v>1018.171026</v>
      </c>
      <c r="AM20" s="15">
        <v>805.24715199999901</v>
      </c>
      <c r="AN20" s="15">
        <v>732.53031799999997</v>
      </c>
      <c r="AO20" s="15">
        <v>1154.5039859999999</v>
      </c>
      <c r="AP20" s="15">
        <v>725.19468799999902</v>
      </c>
      <c r="AQ20" s="15">
        <v>910.46172000000001</v>
      </c>
      <c r="AR20" s="15">
        <v>921.392066</v>
      </c>
      <c r="AS20" s="15">
        <v>725.54246000000001</v>
      </c>
      <c r="AT20" s="15">
        <v>778.101944</v>
      </c>
      <c r="AU20" s="15">
        <v>856.04804799999999</v>
      </c>
      <c r="AV20" s="15">
        <v>942.87448799999902</v>
      </c>
      <c r="AW20" s="15">
        <v>810.81131799999901</v>
      </c>
      <c r="AX20" s="15">
        <v>874.68979400000001</v>
      </c>
      <c r="AY20" s="15">
        <v>945.66735599999902</v>
      </c>
      <c r="AZ20" s="15">
        <v>833.35671400000001</v>
      </c>
      <c r="BA20" s="15">
        <v>934.30264799999998</v>
      </c>
      <c r="BB20" s="15">
        <v>686.31219599999997</v>
      </c>
      <c r="BC20" s="15">
        <v>687.64023199999997</v>
      </c>
      <c r="BD20" s="15">
        <v>754.16779999999903</v>
      </c>
      <c r="BE20" s="15">
        <v>723.59388000000001</v>
      </c>
      <c r="BF20" s="15">
        <v>774.45968199999902</v>
      </c>
      <c r="BG20" s="15">
        <v>734.28132199999902</v>
      </c>
      <c r="BH20" s="15">
        <v>751.217668</v>
      </c>
      <c r="BI20" s="15">
        <v>866.781105999999</v>
      </c>
      <c r="BJ20" s="15">
        <v>841.57414599999902</v>
      </c>
      <c r="BK20" s="15">
        <v>844.098107999999</v>
      </c>
      <c r="BL20" s="15">
        <v>921.96274399999902</v>
      </c>
      <c r="BM20" s="15">
        <v>963.18765799999903</v>
      </c>
      <c r="BN20" s="15">
        <v>906.384581999999</v>
      </c>
      <c r="BO20" s="15">
        <v>954.50766199999998</v>
      </c>
      <c r="BP20" s="15">
        <v>908.95207399999902</v>
      </c>
      <c r="BQ20" s="15">
        <v>854.91797599999995</v>
      </c>
      <c r="BR20" s="15">
        <v>892.13625999999999</v>
      </c>
      <c r="BS20" s="15">
        <v>758.08156999999903</v>
      </c>
      <c r="BT20" s="15">
        <v>1034.3583099999901</v>
      </c>
      <c r="BU20" s="15">
        <v>946.52728999999999</v>
      </c>
      <c r="BV20" s="15">
        <v>961.58301799999902</v>
      </c>
      <c r="BW20" s="15">
        <v>923.841939999999</v>
      </c>
      <c r="BX20" s="16">
        <f>AVERAGE(C20:BW20)</f>
        <v>855.1449325753415</v>
      </c>
      <c r="CH20" s="17">
        <v>1176.061778</v>
      </c>
    </row>
    <row r="21" spans="1:86" x14ac:dyDescent="0.2">
      <c r="A21" s="12" t="s">
        <v>80</v>
      </c>
      <c r="B21" s="13" t="s">
        <v>81</v>
      </c>
      <c r="C21" s="14">
        <v>1204.003236</v>
      </c>
      <c r="D21" s="15">
        <v>656.562623999999</v>
      </c>
      <c r="E21" s="15">
        <v>726.20859999999902</v>
      </c>
      <c r="F21" s="15">
        <v>719.45916199999999</v>
      </c>
      <c r="G21" s="15">
        <v>742.72157199999901</v>
      </c>
      <c r="H21" s="15">
        <v>640.72747399999901</v>
      </c>
      <c r="I21" s="15">
        <v>835.49509599999999</v>
      </c>
      <c r="J21" s="15">
        <v>1058.8644420000001</v>
      </c>
      <c r="K21" s="15">
        <v>956.302493999999</v>
      </c>
      <c r="L21" s="15">
        <v>994.48891599999899</v>
      </c>
      <c r="M21" s="15">
        <v>937.58849799999996</v>
      </c>
      <c r="N21" s="15">
        <v>1275.1961039999901</v>
      </c>
      <c r="O21" s="15">
        <v>937.32404999999903</v>
      </c>
      <c r="P21" s="15">
        <v>847.88379199999997</v>
      </c>
      <c r="Q21" s="15">
        <v>888.31427199999996</v>
      </c>
      <c r="R21" s="15">
        <v>726.50629600000002</v>
      </c>
      <c r="S21" s="15">
        <v>767.740274</v>
      </c>
      <c r="T21" s="15">
        <v>643.55515000000003</v>
      </c>
      <c r="U21" s="15">
        <v>708.37417399999902</v>
      </c>
      <c r="V21" s="15">
        <v>707.01461599999902</v>
      </c>
      <c r="W21" s="15">
        <v>740.46497199999999</v>
      </c>
      <c r="X21" s="15">
        <v>742.89470199999903</v>
      </c>
      <c r="Y21" s="15">
        <v>1009.737308</v>
      </c>
      <c r="Z21" s="15">
        <v>800.75420199999996</v>
      </c>
      <c r="AA21" s="15">
        <v>865.85029599999996</v>
      </c>
      <c r="AB21" s="15">
        <v>847.21965999999998</v>
      </c>
      <c r="AC21" s="15">
        <v>674.69503599999996</v>
      </c>
      <c r="AD21" s="15">
        <v>859.506124</v>
      </c>
      <c r="AE21" s="15">
        <v>1143.819972</v>
      </c>
      <c r="AF21" s="15">
        <v>643.08838800000001</v>
      </c>
      <c r="AG21" s="15">
        <v>739.27186999999901</v>
      </c>
      <c r="AH21" s="15">
        <v>804.07562999999902</v>
      </c>
      <c r="AI21" s="15">
        <v>817.21065799999997</v>
      </c>
      <c r="AJ21" s="15">
        <v>771.63718599999902</v>
      </c>
      <c r="AK21" s="15">
        <v>777.35438999999997</v>
      </c>
      <c r="AL21" s="15">
        <v>999.381925999999</v>
      </c>
      <c r="AM21" s="15">
        <v>787.24383799999998</v>
      </c>
      <c r="AN21" s="15">
        <v>719.11825599999997</v>
      </c>
      <c r="AO21" s="15">
        <v>1132.9079019999999</v>
      </c>
      <c r="AP21" s="15">
        <v>709.54347399999995</v>
      </c>
      <c r="AQ21" s="15">
        <v>894.35895199999902</v>
      </c>
      <c r="AR21" s="15">
        <v>903.08438000000001</v>
      </c>
      <c r="AS21" s="15">
        <v>709.36073599999997</v>
      </c>
      <c r="AT21" s="15">
        <v>760.90832999999998</v>
      </c>
      <c r="AU21" s="15">
        <v>841.41537399999902</v>
      </c>
      <c r="AV21" s="15">
        <v>925.007689999999</v>
      </c>
      <c r="AW21" s="15">
        <v>799.01136199999996</v>
      </c>
      <c r="AX21" s="15">
        <v>858.57339000000002</v>
      </c>
      <c r="AY21" s="15">
        <v>928.09470999999996</v>
      </c>
      <c r="AZ21" s="15">
        <v>818.36910399999999</v>
      </c>
      <c r="BA21" s="15">
        <v>917.85903999999903</v>
      </c>
      <c r="BB21" s="15">
        <v>674.26582199999996</v>
      </c>
      <c r="BC21" s="15">
        <v>672.889408</v>
      </c>
      <c r="BD21" s="15">
        <v>738.23723399999994</v>
      </c>
      <c r="BE21" s="15">
        <v>707.46008799999902</v>
      </c>
      <c r="BF21" s="15">
        <v>759.03510799999901</v>
      </c>
      <c r="BG21" s="15">
        <v>719.96381799999995</v>
      </c>
      <c r="BH21" s="15">
        <v>736.716048</v>
      </c>
      <c r="BI21" s="15">
        <v>849.75585799999999</v>
      </c>
      <c r="BJ21" s="15">
        <v>824.36658599999998</v>
      </c>
      <c r="BK21" s="15">
        <v>825.29849400000001</v>
      </c>
      <c r="BL21" s="15">
        <v>903.057952</v>
      </c>
      <c r="BM21" s="15">
        <v>947.27774399999998</v>
      </c>
      <c r="BN21" s="15">
        <v>891.06088999999997</v>
      </c>
      <c r="BO21" s="15">
        <v>933.343919999999</v>
      </c>
      <c r="BP21" s="15">
        <v>893.15965599999902</v>
      </c>
      <c r="BQ21" s="15">
        <v>840.13527399999998</v>
      </c>
      <c r="BR21" s="15">
        <v>876.76670999999999</v>
      </c>
      <c r="BS21" s="15">
        <v>747.32427799999903</v>
      </c>
      <c r="BT21" s="15">
        <v>1016.12238399999</v>
      </c>
      <c r="BU21" s="15">
        <v>929.73692199999903</v>
      </c>
      <c r="BV21" s="15">
        <v>944.92271199999902</v>
      </c>
      <c r="BW21" s="15">
        <v>914.92980399999999</v>
      </c>
      <c r="BX21" s="16">
        <f>AVERAGE(C21:BW21)</f>
        <v>839.20515630136902</v>
      </c>
      <c r="CH21" s="17">
        <v>1166.572496</v>
      </c>
    </row>
    <row r="22" spans="1:86" x14ac:dyDescent="0.2">
      <c r="A22" s="12" t="s">
        <v>82</v>
      </c>
      <c r="B22" s="13"/>
      <c r="C22" s="1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6"/>
      <c r="CH22" s="17"/>
    </row>
    <row r="23" spans="1:86" x14ac:dyDescent="0.2">
      <c r="A23" s="12" t="s">
        <v>83</v>
      </c>
      <c r="B23" s="13" t="s">
        <v>84</v>
      </c>
      <c r="C23" s="14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6">
        <f t="shared" ref="BX23:BX32" si="1">AVERAGE(C23:BW23)</f>
        <v>0</v>
      </c>
      <c r="CH23" s="17">
        <v>0</v>
      </c>
    </row>
    <row r="24" spans="1:86" x14ac:dyDescent="0.2">
      <c r="A24" s="12" t="s">
        <v>85</v>
      </c>
      <c r="B24" s="13" t="s">
        <v>85</v>
      </c>
      <c r="C24" s="14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6">
        <f t="shared" si="1"/>
        <v>0</v>
      </c>
      <c r="CH24" s="17">
        <v>0</v>
      </c>
    </row>
    <row r="25" spans="1:86" x14ac:dyDescent="0.2">
      <c r="A25" s="12" t="s">
        <v>86</v>
      </c>
      <c r="B25" s="13" t="s">
        <v>87</v>
      </c>
      <c r="C25" s="14">
        <v>46.649190999999902</v>
      </c>
      <c r="D25" s="15">
        <v>32.086821</v>
      </c>
      <c r="E25" s="15">
        <v>35.908870999999998</v>
      </c>
      <c r="F25" s="15">
        <v>40.110811999999903</v>
      </c>
      <c r="G25" s="15">
        <v>31.585203</v>
      </c>
      <c r="H25" s="15">
        <v>24.744353</v>
      </c>
      <c r="I25" s="15">
        <v>43.193539999999999</v>
      </c>
      <c r="J25" s="15">
        <v>38.233301999999902</v>
      </c>
      <c r="K25" s="15">
        <v>37.416350999999999</v>
      </c>
      <c r="L25" s="15">
        <v>37.410024</v>
      </c>
      <c r="M25" s="15">
        <v>39.164907999999997</v>
      </c>
      <c r="N25" s="15">
        <v>49.073014999999998</v>
      </c>
      <c r="O25" s="15">
        <v>37.553089</v>
      </c>
      <c r="P25" s="15">
        <v>33.243688999999897</v>
      </c>
      <c r="Q25" s="15">
        <v>40.711655</v>
      </c>
      <c r="R25" s="15">
        <v>33.771903000000002</v>
      </c>
      <c r="S25" s="15">
        <v>35.077883</v>
      </c>
      <c r="T25" s="15">
        <v>29.553134999999902</v>
      </c>
      <c r="U25" s="15">
        <v>31.343017999999901</v>
      </c>
      <c r="V25" s="15">
        <v>30.576718999999901</v>
      </c>
      <c r="W25" s="15">
        <v>32.870613999999897</v>
      </c>
      <c r="X25" s="15">
        <v>29.632980999999901</v>
      </c>
      <c r="Y25" s="15">
        <v>43.880216999999902</v>
      </c>
      <c r="Z25" s="15">
        <v>31.501704999999902</v>
      </c>
      <c r="AA25" s="15">
        <v>35.728885999999903</v>
      </c>
      <c r="AB25" s="15">
        <v>35.754815000000001</v>
      </c>
      <c r="AC25" s="15">
        <v>25.953348999999999</v>
      </c>
      <c r="AD25" s="15">
        <v>34.695952999999903</v>
      </c>
      <c r="AE25" s="15">
        <v>48.681691999999998</v>
      </c>
      <c r="AF25" s="15">
        <v>27.994056999999898</v>
      </c>
      <c r="AG25" s="15">
        <v>34.742601999999998</v>
      </c>
      <c r="AH25" s="15">
        <v>34.969279999999998</v>
      </c>
      <c r="AI25" s="15">
        <v>35.854721999999903</v>
      </c>
      <c r="AJ25" s="15">
        <v>30.242853999999902</v>
      </c>
      <c r="AK25" s="15">
        <v>33.772753999999999</v>
      </c>
      <c r="AL25" s="15">
        <v>38.380297999999897</v>
      </c>
      <c r="AM25" s="15">
        <v>34.263776</v>
      </c>
      <c r="AN25" s="15">
        <v>33.064532999999997</v>
      </c>
      <c r="AO25" s="15">
        <v>46.294995</v>
      </c>
      <c r="AP25" s="15">
        <v>30.148278999999999</v>
      </c>
      <c r="AQ25" s="15">
        <v>39.037368999999998</v>
      </c>
      <c r="AR25" s="15">
        <v>37.567582999999999</v>
      </c>
      <c r="AS25" s="15">
        <v>31.352938999999999</v>
      </c>
      <c r="AT25" s="15">
        <v>34.651604999999897</v>
      </c>
      <c r="AU25" s="15">
        <v>36.031870999999903</v>
      </c>
      <c r="AV25" s="15">
        <v>40.457991</v>
      </c>
      <c r="AW25" s="15">
        <v>16.656696</v>
      </c>
      <c r="AX25" s="15">
        <v>35.47034</v>
      </c>
      <c r="AY25" s="15">
        <v>40.931345999999998</v>
      </c>
      <c r="AZ25" s="15">
        <v>36.250926999999997</v>
      </c>
      <c r="BA25" s="15">
        <v>35.780186</v>
      </c>
      <c r="BB25" s="15">
        <v>28.582912</v>
      </c>
      <c r="BC25" s="15">
        <v>30.627502999999901</v>
      </c>
      <c r="BD25" s="15">
        <v>32.524155</v>
      </c>
      <c r="BE25" s="15">
        <v>30.887989999999999</v>
      </c>
      <c r="BF25" s="15">
        <v>31.057167</v>
      </c>
      <c r="BG25" s="15">
        <v>31.529515999999902</v>
      </c>
      <c r="BH25" s="15">
        <v>30.795795999999999</v>
      </c>
      <c r="BI25" s="15">
        <v>38.856836999999999</v>
      </c>
      <c r="BJ25" s="15">
        <v>37.318275</v>
      </c>
      <c r="BK25" s="15">
        <v>36.915141999999904</v>
      </c>
      <c r="BL25" s="15">
        <v>39.984473000000001</v>
      </c>
      <c r="BM25" s="15">
        <v>39.406248999999903</v>
      </c>
      <c r="BN25" s="15">
        <v>38.518226999999897</v>
      </c>
      <c r="BO25" s="15">
        <v>41.914256999999999</v>
      </c>
      <c r="BP25" s="15">
        <v>35.433378999999903</v>
      </c>
      <c r="BQ25" s="15">
        <v>35.702050999999997</v>
      </c>
      <c r="BR25" s="15">
        <v>35.424455999999999</v>
      </c>
      <c r="BS25" s="15">
        <v>29.193992999999999</v>
      </c>
      <c r="BT25" s="15">
        <v>45.753856999999897</v>
      </c>
      <c r="BU25" s="15">
        <v>42.362379999999902</v>
      </c>
      <c r="BV25" s="15">
        <v>37.289656999999998</v>
      </c>
      <c r="BW25" s="15">
        <v>36.914708999999903</v>
      </c>
      <c r="BX25" s="16">
        <f t="shared" si="1"/>
        <v>35.575584630136952</v>
      </c>
      <c r="CH25" s="17">
        <v>48.810648999999998</v>
      </c>
    </row>
    <row r="26" spans="1:86" x14ac:dyDescent="0.2">
      <c r="A26" s="12" t="s">
        <v>88</v>
      </c>
      <c r="B26" s="13" t="s">
        <v>88</v>
      </c>
      <c r="C26" s="14">
        <v>179252.14712399899</v>
      </c>
      <c r="D26" s="15">
        <v>96792.419957999999</v>
      </c>
      <c r="E26" s="15">
        <v>107481.819871</v>
      </c>
      <c r="F26" s="15">
        <v>105709.353357</v>
      </c>
      <c r="G26" s="15">
        <v>110475.82023</v>
      </c>
      <c r="H26" s="15">
        <v>95483.618254999994</v>
      </c>
      <c r="I26" s="15">
        <v>120222.656871999</v>
      </c>
      <c r="J26" s="15">
        <v>158315.909778</v>
      </c>
      <c r="K26" s="15">
        <v>142911.368121999</v>
      </c>
      <c r="L26" s="15">
        <v>148652.15603099999</v>
      </c>
      <c r="M26" s="15">
        <v>139469.63361399999</v>
      </c>
      <c r="N26" s="15">
        <v>189610.31894699999</v>
      </c>
      <c r="O26" s="15">
        <v>138723.834703</v>
      </c>
      <c r="P26" s="15">
        <v>125890.43081799999</v>
      </c>
      <c r="Q26" s="15">
        <v>131595.38539399899</v>
      </c>
      <c r="R26" s="15">
        <v>107594.824295999</v>
      </c>
      <c r="S26" s="15">
        <v>113492.363971</v>
      </c>
      <c r="T26" s="15">
        <v>95469.928648000001</v>
      </c>
      <c r="U26" s="15">
        <v>105191.852300999</v>
      </c>
      <c r="V26" s="15">
        <v>104650.004114999</v>
      </c>
      <c r="W26" s="15">
        <v>110232.634225</v>
      </c>
      <c r="X26" s="15">
        <v>110520.470273</v>
      </c>
      <c r="Y26" s="15">
        <v>150385.309224</v>
      </c>
      <c r="Z26" s="15">
        <v>119022.278970999</v>
      </c>
      <c r="AA26" s="15">
        <v>128750.838794999</v>
      </c>
      <c r="AB26" s="15">
        <v>125832.52086999999</v>
      </c>
      <c r="AC26" s="15">
        <v>101048.387477</v>
      </c>
      <c r="AD26" s="15">
        <v>128689.178397</v>
      </c>
      <c r="AE26" s="15">
        <v>170154.620968</v>
      </c>
      <c r="AF26" s="15">
        <v>95273.370133999997</v>
      </c>
      <c r="AG26" s="15">
        <v>109662.96544099999</v>
      </c>
      <c r="AH26" s="15">
        <v>119222.010333</v>
      </c>
      <c r="AI26" s="15">
        <v>120816.366593999</v>
      </c>
      <c r="AJ26" s="15">
        <v>114305.70022</v>
      </c>
      <c r="AK26" s="15">
        <v>115708.064690999</v>
      </c>
      <c r="AL26" s="15">
        <v>148898.44830299899</v>
      </c>
      <c r="AM26" s="15">
        <v>116882.505853</v>
      </c>
      <c r="AN26" s="15">
        <v>106968.794146</v>
      </c>
      <c r="AO26" s="15">
        <v>168407.003028999</v>
      </c>
      <c r="AP26" s="15">
        <v>105416.902118999</v>
      </c>
      <c r="AQ26" s="15">
        <v>133082.565867</v>
      </c>
      <c r="AR26" s="15">
        <v>134302.56815599999</v>
      </c>
      <c r="AS26" s="15">
        <v>105350.300699</v>
      </c>
      <c r="AT26" s="15">
        <v>112963.141196999</v>
      </c>
      <c r="AU26" s="15">
        <v>125222.704839</v>
      </c>
      <c r="AV26" s="15">
        <v>136994.22466099999</v>
      </c>
      <c r="AW26" s="15">
        <v>118524.056491</v>
      </c>
      <c r="AX26" s="15">
        <v>126997.503424999</v>
      </c>
      <c r="AY26" s="15">
        <v>136831.86410499999</v>
      </c>
      <c r="AZ26" s="15">
        <v>120594.47034699999</v>
      </c>
      <c r="BA26" s="15">
        <v>135611.58977699999</v>
      </c>
      <c r="BB26" s="15">
        <v>99710.075748999996</v>
      </c>
      <c r="BC26" s="15">
        <v>99733.468074999997</v>
      </c>
      <c r="BD26" s="15">
        <v>109331.210278</v>
      </c>
      <c r="BE26" s="15">
        <v>104691.965942999</v>
      </c>
      <c r="BF26" s="15">
        <v>112544.513888</v>
      </c>
      <c r="BG26" s="15">
        <v>106677.291637</v>
      </c>
      <c r="BH26" s="15">
        <v>109109.244412</v>
      </c>
      <c r="BI26" s="15">
        <v>125899.03490699999</v>
      </c>
      <c r="BJ26" s="15">
        <v>122178.458986</v>
      </c>
      <c r="BK26" s="15">
        <v>121871.491954</v>
      </c>
      <c r="BL26" s="15">
        <v>133537.544142</v>
      </c>
      <c r="BM26" s="15">
        <v>140826.96245599899</v>
      </c>
      <c r="BN26" s="15">
        <v>132551.810601</v>
      </c>
      <c r="BO26" s="15">
        <v>138304.41359899999</v>
      </c>
      <c r="BP26" s="15">
        <v>132839.07975199999</v>
      </c>
      <c r="BQ26" s="15">
        <v>125073.703805</v>
      </c>
      <c r="BR26" s="15">
        <v>130340.945484999</v>
      </c>
      <c r="BS26" s="15">
        <v>110654.419818999</v>
      </c>
      <c r="BT26" s="15">
        <v>151027.027447</v>
      </c>
      <c r="BU26" s="15">
        <v>138152.48742699999</v>
      </c>
      <c r="BV26" s="15">
        <v>140475.07858899899</v>
      </c>
      <c r="BW26" s="15">
        <v>136960.54074599899</v>
      </c>
      <c r="BX26" s="16">
        <f t="shared" si="1"/>
        <v>124549.99966752029</v>
      </c>
      <c r="CH26" s="17">
        <v>173957.39284499999</v>
      </c>
    </row>
    <row r="27" spans="1:86" x14ac:dyDescent="0.2">
      <c r="A27" s="12" t="s">
        <v>89</v>
      </c>
      <c r="B27" s="13" t="s">
        <v>90</v>
      </c>
      <c r="C27" s="14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6">
        <f t="shared" si="1"/>
        <v>0</v>
      </c>
      <c r="CH27" s="17">
        <v>0</v>
      </c>
    </row>
    <row r="28" spans="1:86" x14ac:dyDescent="0.2">
      <c r="A28" s="12" t="s">
        <v>91</v>
      </c>
      <c r="B28" s="13" t="s">
        <v>91</v>
      </c>
      <c r="C28" s="14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6">
        <f t="shared" si="1"/>
        <v>0</v>
      </c>
      <c r="CH28" s="17">
        <v>0</v>
      </c>
    </row>
    <row r="29" spans="1:86" x14ac:dyDescent="0.2">
      <c r="A29" s="12" t="s">
        <v>92</v>
      </c>
      <c r="B29" s="13" t="s">
        <v>92</v>
      </c>
      <c r="C29" s="14">
        <v>5.7852000000000001E-2</v>
      </c>
      <c r="D29" s="15">
        <v>0.18459199999999901</v>
      </c>
      <c r="E29" s="15">
        <v>0.211753</v>
      </c>
      <c r="F29" s="15">
        <v>0.19513</v>
      </c>
      <c r="G29" s="15">
        <v>3.5317999999999898E-2</v>
      </c>
      <c r="H29" s="15">
        <v>1.43699999999999E-2</v>
      </c>
      <c r="I29" s="15">
        <v>0.24911799999999901</v>
      </c>
      <c r="J29" s="15">
        <v>0.14027299999999901</v>
      </c>
      <c r="K29" s="15">
        <v>0.20116099999999901</v>
      </c>
      <c r="L29" s="15">
        <v>0.20888199999999901</v>
      </c>
      <c r="M29" s="15">
        <v>6.3273999999999997E-2</v>
      </c>
      <c r="N29" s="15">
        <v>7.7507999999999994E-2</v>
      </c>
      <c r="O29" s="15">
        <v>3.9446999999999899E-2</v>
      </c>
      <c r="P29" s="15">
        <v>4.0669999999999998E-2</v>
      </c>
      <c r="Q29" s="15">
        <v>3.03969999999999E-2</v>
      </c>
      <c r="R29" s="15">
        <v>3.2300999999999899E-2</v>
      </c>
      <c r="S29" s="15">
        <v>4.1499000000000001E-2</v>
      </c>
      <c r="T29" s="15">
        <v>3.0981999999999999E-2</v>
      </c>
      <c r="U29" s="15">
        <v>4.1563999999999997E-2</v>
      </c>
      <c r="V29" s="15">
        <v>3.7146999999999999E-2</v>
      </c>
      <c r="W29" s="15">
        <v>2.6263999999999999E-2</v>
      </c>
      <c r="X29" s="15">
        <v>3.7310999999999997E-2</v>
      </c>
      <c r="Y29" s="15">
        <v>4.9152999999999898E-2</v>
      </c>
      <c r="Z29" s="15">
        <v>3.3169999999999998E-2</v>
      </c>
      <c r="AA29" s="15">
        <v>3.5802E-2</v>
      </c>
      <c r="AB29" s="15">
        <v>3.1992E-2</v>
      </c>
      <c r="AC29" s="15">
        <v>0.31085999999999903</v>
      </c>
      <c r="AD29" s="15">
        <v>0.35565399999999903</v>
      </c>
      <c r="AE29" s="15">
        <v>5.9358999999999898E-2</v>
      </c>
      <c r="AF29" s="15">
        <v>3.5318999999999899E-2</v>
      </c>
      <c r="AG29" s="15">
        <v>3.3459999999999997E-2</v>
      </c>
      <c r="AH29" s="15">
        <v>3.1425999999999898E-2</v>
      </c>
      <c r="AI29" s="15">
        <v>4.6071999999999898E-2</v>
      </c>
      <c r="AJ29" s="15">
        <v>3.3468999999999999E-2</v>
      </c>
      <c r="AK29" s="15">
        <v>4.0368000000000001E-2</v>
      </c>
      <c r="AL29" s="15">
        <v>4.8167999999999898E-2</v>
      </c>
      <c r="AM29" s="15">
        <v>4.7435999999999999E-2</v>
      </c>
      <c r="AN29" s="15">
        <v>2.7762999999999999E-2</v>
      </c>
      <c r="AO29" s="15">
        <v>4.9523999999999999E-2</v>
      </c>
      <c r="AP29" s="15">
        <v>3.2663999999999999E-2</v>
      </c>
      <c r="AQ29" s="15">
        <v>3.07479999999999E-2</v>
      </c>
      <c r="AR29" s="15">
        <v>3.5473999999999999E-2</v>
      </c>
      <c r="AS29" s="15">
        <v>3.3436E-2</v>
      </c>
      <c r="AT29" s="15">
        <v>3.5188999999999998E-2</v>
      </c>
      <c r="AU29" s="15">
        <v>2.3633999999999999E-2</v>
      </c>
      <c r="AV29" s="15">
        <v>4.3325999999999899E-2</v>
      </c>
      <c r="AW29" s="15">
        <v>3.7471999999999998E-2</v>
      </c>
      <c r="AX29" s="15">
        <v>3.5852999999999899E-2</v>
      </c>
      <c r="AY29" s="15">
        <v>3.3449E-2</v>
      </c>
      <c r="AZ29" s="15">
        <v>2.4438999999999999E-2</v>
      </c>
      <c r="BA29" s="15">
        <v>2.9766999999999998E-2</v>
      </c>
      <c r="BB29" s="15">
        <v>3.4826999999999997E-2</v>
      </c>
      <c r="BC29" s="15">
        <v>3.3496999999999999E-2</v>
      </c>
      <c r="BD29" s="15">
        <v>3.8904000000000001E-2</v>
      </c>
      <c r="BE29" s="15">
        <v>3.6525999999999899E-2</v>
      </c>
      <c r="BF29" s="15">
        <v>3.5501999999999999E-2</v>
      </c>
      <c r="BG29" s="15">
        <v>2.913E-2</v>
      </c>
      <c r="BH29" s="15">
        <v>3.5873999999999899E-2</v>
      </c>
      <c r="BI29" s="15">
        <v>3.4315999999999999E-2</v>
      </c>
      <c r="BJ29" s="15">
        <v>3.8314000000000001E-2</v>
      </c>
      <c r="BK29" s="15">
        <v>3.9392999999999997E-2</v>
      </c>
      <c r="BL29" s="15">
        <v>4.2000999999999997E-2</v>
      </c>
      <c r="BM29" s="15">
        <v>2.9420999999999999E-2</v>
      </c>
      <c r="BN29" s="15">
        <v>2.3532999999999998E-2</v>
      </c>
      <c r="BO29" s="15">
        <v>4.1964000000000001E-2</v>
      </c>
      <c r="BP29" s="15">
        <v>2.6527999999999999E-2</v>
      </c>
      <c r="BQ29" s="15">
        <v>1.7788999999999999E-2</v>
      </c>
      <c r="BR29" s="15">
        <v>2.2237E-2</v>
      </c>
      <c r="BS29" s="15">
        <v>1.9082999999999999E-2</v>
      </c>
      <c r="BT29" s="15">
        <v>3.9369000000000001E-2</v>
      </c>
      <c r="BU29" s="15">
        <v>3.1814999999999899E-2</v>
      </c>
      <c r="BV29" s="15">
        <v>3.4804999999999899E-2</v>
      </c>
      <c r="BW29" s="15">
        <v>0.23214399999999999</v>
      </c>
      <c r="BX29" s="16">
        <f t="shared" si="1"/>
        <v>6.2715493150684781E-2</v>
      </c>
      <c r="CH29" s="17">
        <v>1.7013999999999901E-2</v>
      </c>
    </row>
    <row r="30" spans="1:86" x14ac:dyDescent="0.2">
      <c r="A30" s="12" t="s">
        <v>93</v>
      </c>
      <c r="B30" s="13" t="s">
        <v>93</v>
      </c>
      <c r="C30" s="14">
        <v>7.2668589999999904</v>
      </c>
      <c r="D30" s="15">
        <v>3.9459279999999999</v>
      </c>
      <c r="E30" s="15">
        <v>3.540581</v>
      </c>
      <c r="F30" s="15">
        <v>4.8395989999999998</v>
      </c>
      <c r="G30" s="15">
        <v>2.746988</v>
      </c>
      <c r="H30" s="15">
        <v>3.076603</v>
      </c>
      <c r="I30" s="15">
        <v>5.127421</v>
      </c>
      <c r="J30" s="15">
        <v>1.388431</v>
      </c>
      <c r="K30" s="15">
        <v>1.7381419999999901</v>
      </c>
      <c r="L30" s="15">
        <v>2.400865</v>
      </c>
      <c r="M30" s="15">
        <v>6.9367099999999997</v>
      </c>
      <c r="N30" s="15">
        <v>8.6079559999999997</v>
      </c>
      <c r="O30" s="15">
        <v>5.3202359999999898</v>
      </c>
      <c r="P30" s="15">
        <v>3.0813599999999899</v>
      </c>
      <c r="Q30" s="15">
        <v>4.9739269999999998</v>
      </c>
      <c r="R30" s="15">
        <v>5.2772589999999999</v>
      </c>
      <c r="S30" s="15">
        <v>5.8752069999999996</v>
      </c>
      <c r="T30" s="15">
        <v>2.93971599999999</v>
      </c>
      <c r="U30" s="15">
        <v>3.5000089999999999</v>
      </c>
      <c r="V30" s="15">
        <v>2.8657969999999899</v>
      </c>
      <c r="W30" s="15">
        <v>5.0145419999999996</v>
      </c>
      <c r="X30" s="15">
        <v>5.4760029999999897</v>
      </c>
      <c r="Y30" s="15">
        <v>7.2280489999999897</v>
      </c>
      <c r="Z30" s="15">
        <v>5.0346329999999897</v>
      </c>
      <c r="AA30" s="15">
        <v>5.6389459999999998</v>
      </c>
      <c r="AB30" s="15">
        <v>5.4795889999999998</v>
      </c>
      <c r="AC30" s="15">
        <v>2.1881349999999999</v>
      </c>
      <c r="AD30" s="15">
        <v>2.5933959999999998</v>
      </c>
      <c r="AE30" s="15">
        <v>7.1442969999999999</v>
      </c>
      <c r="AF30" s="15">
        <v>4.8604430000000001</v>
      </c>
      <c r="AG30" s="15">
        <v>5.1853340000000001</v>
      </c>
      <c r="AH30" s="15">
        <v>5.3445499999999999</v>
      </c>
      <c r="AI30" s="15">
        <v>5.4039130000000002</v>
      </c>
      <c r="AJ30" s="15">
        <v>4.9915389999999897</v>
      </c>
      <c r="AK30" s="15">
        <v>5.6130509999999996</v>
      </c>
      <c r="AL30" s="15">
        <v>6.532502</v>
      </c>
      <c r="AM30" s="15">
        <v>3.6638819999999899</v>
      </c>
      <c r="AN30" s="15">
        <v>2.0395719999999899</v>
      </c>
      <c r="AO30" s="15">
        <v>3.7460169999999899</v>
      </c>
      <c r="AP30" s="15">
        <v>3.060873</v>
      </c>
      <c r="AQ30" s="15">
        <v>2.5583749999999998</v>
      </c>
      <c r="AR30" s="15">
        <v>3.4623339999999998</v>
      </c>
      <c r="AS30" s="15">
        <v>5.4013929999999997</v>
      </c>
      <c r="AT30" s="15">
        <v>5.6018650000000001</v>
      </c>
      <c r="AU30" s="15">
        <v>4.6295729999999997</v>
      </c>
      <c r="AV30" s="15">
        <v>5.9055869999999997</v>
      </c>
      <c r="AW30" s="15">
        <v>4.7445680000000001</v>
      </c>
      <c r="AX30" s="15">
        <v>5.4735639999999997</v>
      </c>
      <c r="AY30" s="15">
        <v>5.7313869999999998</v>
      </c>
      <c r="AZ30" s="15">
        <v>4.7374429999999998</v>
      </c>
      <c r="BA30" s="15">
        <v>5.3274799999999898</v>
      </c>
      <c r="BB30" s="15">
        <v>3.8329149999999998</v>
      </c>
      <c r="BC30" s="15">
        <v>4.8567589999999896</v>
      </c>
      <c r="BD30" s="15">
        <v>5.4121030000000001</v>
      </c>
      <c r="BE30" s="15">
        <v>5.5220009999999897</v>
      </c>
      <c r="BF30" s="15">
        <v>5.2665669999999896</v>
      </c>
      <c r="BG30" s="15">
        <v>4.900398</v>
      </c>
      <c r="BH30" s="15">
        <v>4.901014</v>
      </c>
      <c r="BI30" s="15">
        <v>5.6667239999999897</v>
      </c>
      <c r="BJ30" s="15">
        <v>5.654515</v>
      </c>
      <c r="BK30" s="15">
        <v>6.492998</v>
      </c>
      <c r="BL30" s="15">
        <v>6.3905050000000001</v>
      </c>
      <c r="BM30" s="15">
        <v>5.1881329999999997</v>
      </c>
      <c r="BN30" s="15">
        <v>4.8883869999999998</v>
      </c>
      <c r="BO30" s="15">
        <v>6.9869529999999997</v>
      </c>
      <c r="BP30" s="15">
        <v>5.081442</v>
      </c>
      <c r="BQ30" s="15">
        <v>4.7042529999999996</v>
      </c>
      <c r="BR30" s="15">
        <v>4.8223549999999999</v>
      </c>
      <c r="BS30" s="15">
        <v>3.6069059999999999</v>
      </c>
      <c r="BT30" s="15">
        <v>5.7386409999999897</v>
      </c>
      <c r="BU30" s="15">
        <v>5.3704719999999897</v>
      </c>
      <c r="BV30" s="15">
        <v>5.3294600000000001</v>
      </c>
      <c r="BW30" s="15">
        <v>1.843332</v>
      </c>
      <c r="BX30" s="16">
        <f t="shared" si="1"/>
        <v>4.7632775616438323</v>
      </c>
      <c r="CH30" s="17">
        <v>1.572009</v>
      </c>
    </row>
    <row r="31" spans="1:86" x14ac:dyDescent="0.2">
      <c r="A31" s="12" t="s">
        <v>94</v>
      </c>
      <c r="B31" s="13" t="s">
        <v>94</v>
      </c>
      <c r="C31" s="14">
        <v>601.87026100000003</v>
      </c>
      <c r="D31" s="15">
        <v>328.11324300000001</v>
      </c>
      <c r="E31" s="15">
        <v>362.925758999999</v>
      </c>
      <c r="F31" s="15">
        <v>359.40089699999999</v>
      </c>
      <c r="G31" s="15">
        <v>367.73622599999999</v>
      </c>
      <c r="H31" s="15">
        <v>316.99117100000001</v>
      </c>
      <c r="I31" s="15">
        <v>417.45090199999999</v>
      </c>
      <c r="J31" s="15">
        <v>529.43591900000001</v>
      </c>
      <c r="K31" s="15">
        <v>478.188032999999</v>
      </c>
      <c r="L31" s="15">
        <v>497.288423999999</v>
      </c>
      <c r="M31" s="15">
        <v>468.70174699999899</v>
      </c>
      <c r="N31" s="15">
        <v>637.42524700000001</v>
      </c>
      <c r="O31" s="15">
        <v>461.66478000000001</v>
      </c>
      <c r="P31" s="15">
        <v>420.026759999999</v>
      </c>
      <c r="Q31" s="15">
        <v>437.79217299999999</v>
      </c>
      <c r="R31" s="15">
        <v>358.56867</v>
      </c>
      <c r="S31" s="15">
        <v>378.700918</v>
      </c>
      <c r="T31" s="15">
        <v>319.218268999999</v>
      </c>
      <c r="U31" s="15">
        <v>351.335003999999</v>
      </c>
      <c r="V31" s="15">
        <v>350.391854999999</v>
      </c>
      <c r="W31" s="15">
        <v>370.077868999999</v>
      </c>
      <c r="X31" s="15">
        <v>371.345202999999</v>
      </c>
      <c r="Y31" s="15">
        <v>504.74619999999999</v>
      </c>
      <c r="Z31" s="15">
        <v>395.63556799999998</v>
      </c>
      <c r="AA31" s="15">
        <v>427.35604999999998</v>
      </c>
      <c r="AB31" s="15">
        <v>418.41538800000001</v>
      </c>
      <c r="AC31" s="15">
        <v>337.08170899999999</v>
      </c>
      <c r="AD31" s="15">
        <v>429.48097899999999</v>
      </c>
      <c r="AE31" s="15">
        <v>571.74331699999902</v>
      </c>
      <c r="AF31" s="15">
        <v>318.498458999999</v>
      </c>
      <c r="AG31" s="15">
        <v>366.19698399999999</v>
      </c>
      <c r="AH31" s="15">
        <v>397.301537</v>
      </c>
      <c r="AI31" s="15">
        <v>400.25614999999999</v>
      </c>
      <c r="AJ31" s="15">
        <v>380.07233600000001</v>
      </c>
      <c r="AK31" s="15">
        <v>388.574175999999</v>
      </c>
      <c r="AL31" s="15">
        <v>499.57673599999998</v>
      </c>
      <c r="AM31" s="15">
        <v>389.84225099999998</v>
      </c>
      <c r="AN31" s="15">
        <v>355.727049999999</v>
      </c>
      <c r="AO31" s="15">
        <v>560.66580999999996</v>
      </c>
      <c r="AP31" s="15">
        <v>351.528505</v>
      </c>
      <c r="AQ31" s="15">
        <v>443.15253899999999</v>
      </c>
      <c r="AR31" s="15">
        <v>447.55323199999998</v>
      </c>
      <c r="AS31" s="15">
        <v>351.55892699999998</v>
      </c>
      <c r="AT31" s="15">
        <v>377.28956099999999</v>
      </c>
      <c r="AU31" s="15">
        <v>416.511291999999</v>
      </c>
      <c r="AV31" s="15">
        <v>455.55550899999997</v>
      </c>
      <c r="AW31" s="15">
        <v>395.426175</v>
      </c>
      <c r="AX31" s="15">
        <v>423.85613599999999</v>
      </c>
      <c r="AY31" s="15">
        <v>451.951157999999</v>
      </c>
      <c r="AZ31" s="15">
        <v>396.81597299999999</v>
      </c>
      <c r="BA31" s="15">
        <v>448.50191799999999</v>
      </c>
      <c r="BB31" s="15">
        <v>331.84278399999999</v>
      </c>
      <c r="BC31" s="15">
        <v>332.54659299999997</v>
      </c>
      <c r="BD31" s="15">
        <v>364.40101999999899</v>
      </c>
      <c r="BE31" s="15">
        <v>349.393630999999</v>
      </c>
      <c r="BF31" s="15">
        <v>374.51707499999998</v>
      </c>
      <c r="BG31" s="15">
        <v>355.245037999999</v>
      </c>
      <c r="BH31" s="15">
        <v>363.99781400000001</v>
      </c>
      <c r="BI31" s="15">
        <v>420.34672</v>
      </c>
      <c r="BJ31" s="15">
        <v>408.32050099999998</v>
      </c>
      <c r="BK31" s="15">
        <v>406.28118699999999</v>
      </c>
      <c r="BL31" s="15">
        <v>445.334552999999</v>
      </c>
      <c r="BM31" s="15">
        <v>468.24064199999998</v>
      </c>
      <c r="BN31" s="15">
        <v>440.922821</v>
      </c>
      <c r="BO31" s="15">
        <v>461.31124399999999</v>
      </c>
      <c r="BP31" s="15">
        <v>441.63220899999999</v>
      </c>
      <c r="BQ31" s="15">
        <v>416.26360599999998</v>
      </c>
      <c r="BR31" s="15">
        <v>434.06001099999997</v>
      </c>
      <c r="BS31" s="15">
        <v>368.64873799999998</v>
      </c>
      <c r="BT31" s="15">
        <v>502.930915999999</v>
      </c>
      <c r="BU31" s="15">
        <v>460.097724999999</v>
      </c>
      <c r="BV31" s="15">
        <v>467.700481999999</v>
      </c>
      <c r="BW31" s="15">
        <v>457.32622199999997</v>
      </c>
      <c r="BX31" s="16">
        <f t="shared" si="1"/>
        <v>415.8477053013695</v>
      </c>
      <c r="CH31" s="17">
        <v>580.019498</v>
      </c>
    </row>
    <row r="32" spans="1:86" ht="17" thickBot="1" x14ac:dyDescent="0.25">
      <c r="A32" s="18" t="s">
        <v>95</v>
      </c>
      <c r="B32" s="19" t="s">
        <v>95</v>
      </c>
      <c r="C32" s="23">
        <v>3.78165799999999</v>
      </c>
      <c r="D32" s="24">
        <v>3.79039499999999</v>
      </c>
      <c r="E32" s="24">
        <v>3.9727269999999999</v>
      </c>
      <c r="F32" s="24">
        <v>4.4844989999999996</v>
      </c>
      <c r="G32" s="24">
        <v>8.6366060000000004</v>
      </c>
      <c r="H32" s="24">
        <v>5.5205039999999999</v>
      </c>
      <c r="I32" s="24">
        <v>4.9297149999999998</v>
      </c>
      <c r="J32" s="24">
        <v>2.6885569999999999</v>
      </c>
      <c r="K32" s="24">
        <v>2.448823</v>
      </c>
      <c r="L32" s="24">
        <v>3.2096779999999998</v>
      </c>
      <c r="M32" s="24">
        <v>3.7587549999999998</v>
      </c>
      <c r="N32" s="24">
        <v>3.9662999999999999</v>
      </c>
      <c r="O32" s="24">
        <v>10.102909</v>
      </c>
      <c r="P32" s="24">
        <v>8.8425149999999899</v>
      </c>
      <c r="Q32" s="24">
        <v>9.571752</v>
      </c>
      <c r="R32" s="24">
        <v>7.3834529999999896</v>
      </c>
      <c r="S32" s="24">
        <v>7.911651</v>
      </c>
      <c r="T32" s="24">
        <v>6.6134329999999997</v>
      </c>
      <c r="U32" s="24">
        <v>7.3314519999999996</v>
      </c>
      <c r="V32" s="24">
        <v>7.5194109999999998</v>
      </c>
      <c r="W32" s="24">
        <v>2.55659499999999</v>
      </c>
      <c r="X32" s="24">
        <v>2.2836050000000001</v>
      </c>
      <c r="Y32" s="24">
        <v>3.6765159999999999</v>
      </c>
      <c r="Z32" s="24">
        <v>7.2067039999999896</v>
      </c>
      <c r="AA32" s="24">
        <v>8.5525959999999994</v>
      </c>
      <c r="AB32" s="24">
        <v>7.7971639999999898</v>
      </c>
      <c r="AC32" s="24">
        <v>2.9669369999999899</v>
      </c>
      <c r="AD32" s="24">
        <v>3.7137799999999999</v>
      </c>
      <c r="AE32" s="24">
        <v>3.7643499999999999</v>
      </c>
      <c r="AF32" s="24">
        <v>5.4165159999999997</v>
      </c>
      <c r="AG32" s="24">
        <v>6.278988</v>
      </c>
      <c r="AH32" s="24">
        <v>7.5147519999999997</v>
      </c>
      <c r="AI32" s="24">
        <v>11.604376</v>
      </c>
      <c r="AJ32" s="24">
        <v>8.0699539999999992</v>
      </c>
      <c r="AK32" s="24">
        <v>2.5367409999999899</v>
      </c>
      <c r="AL32" s="24">
        <v>2.9762749999999998</v>
      </c>
      <c r="AM32" s="24">
        <v>9.1174429999999997</v>
      </c>
      <c r="AN32" s="24">
        <v>8.49853699999999</v>
      </c>
      <c r="AO32" s="24">
        <v>12.840166</v>
      </c>
      <c r="AP32" s="24">
        <v>8.0079659999999997</v>
      </c>
      <c r="AQ32" s="24">
        <v>9.5199459999999991</v>
      </c>
      <c r="AR32" s="24">
        <v>9.6804670000000002</v>
      </c>
      <c r="AS32" s="24">
        <v>5.8109099999999998</v>
      </c>
      <c r="AT32" s="24">
        <v>6.1595459999999997</v>
      </c>
      <c r="AU32" s="24">
        <v>6.883159</v>
      </c>
      <c r="AV32" s="24">
        <v>9.9761480000000002</v>
      </c>
      <c r="AW32" s="24">
        <v>5.2349160000000001</v>
      </c>
      <c r="AX32" s="24">
        <v>8.0151969999999899</v>
      </c>
      <c r="AY32" s="24">
        <v>15.151133</v>
      </c>
      <c r="AZ32" s="24">
        <v>15.124941</v>
      </c>
      <c r="BA32" s="24">
        <v>13.321925999999999</v>
      </c>
      <c r="BB32" s="24">
        <v>7.4803989999999896</v>
      </c>
      <c r="BC32" s="24">
        <v>6.4167639999999997</v>
      </c>
      <c r="BD32" s="24">
        <v>7.2707769999999998</v>
      </c>
      <c r="BE32" s="24">
        <v>6.8813079999999998</v>
      </c>
      <c r="BF32" s="24">
        <v>7.446199</v>
      </c>
      <c r="BG32" s="24">
        <v>6.9952249999999996</v>
      </c>
      <c r="BH32" s="24">
        <v>6.7100059999999999</v>
      </c>
      <c r="BI32" s="24">
        <v>7.3771089999999999</v>
      </c>
      <c r="BJ32" s="24">
        <v>6.8120569999999896</v>
      </c>
      <c r="BK32" s="24">
        <v>9.27486899999999</v>
      </c>
      <c r="BL32" s="24">
        <v>9.2563139999999997</v>
      </c>
      <c r="BM32" s="24">
        <v>8.1650539999999996</v>
      </c>
      <c r="BN32" s="24">
        <v>7.3810829999999896</v>
      </c>
      <c r="BO32" s="24">
        <v>8.9556339999999999</v>
      </c>
      <c r="BP32" s="24">
        <v>7.7623859999999896</v>
      </c>
      <c r="BQ32" s="24">
        <v>6.4911289999999999</v>
      </c>
      <c r="BR32" s="24">
        <v>7.1857639999999998</v>
      </c>
      <c r="BS32" s="24">
        <v>6.7851409999999897</v>
      </c>
      <c r="BT32" s="24">
        <v>8.5095980000000004</v>
      </c>
      <c r="BU32" s="24">
        <v>7.7954479999999897</v>
      </c>
      <c r="BV32" s="24">
        <v>7.7615669999999897</v>
      </c>
      <c r="BW32" s="24">
        <v>2.7514159999999999</v>
      </c>
      <c r="BX32" s="16">
        <f t="shared" si="1"/>
        <v>6.9614834246575308</v>
      </c>
      <c r="CH32" s="25">
        <v>6.4393819999999904</v>
      </c>
    </row>
    <row r="33" spans="1:86" ht="20" thickBot="1" x14ac:dyDescent="0.3">
      <c r="A33" s="1" t="s">
        <v>98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6"/>
      <c r="CH33" s="27"/>
    </row>
    <row r="34" spans="1:86" x14ac:dyDescent="0.2">
      <c r="A34" s="28" t="s">
        <v>99</v>
      </c>
      <c r="B34" s="29"/>
      <c r="C34" s="30" t="str">
        <f t="shared" ref="C34:BN34" si="2">IF(C2=C18, "YES", "NO")</f>
        <v>YES</v>
      </c>
      <c r="D34" s="31" t="str">
        <f t="shared" si="2"/>
        <v>YES</v>
      </c>
      <c r="E34" s="31" t="str">
        <f t="shared" si="2"/>
        <v>YES</v>
      </c>
      <c r="F34" s="31" t="str">
        <f t="shared" si="2"/>
        <v>YES</v>
      </c>
      <c r="G34" s="31" t="str">
        <f t="shared" si="2"/>
        <v>YES</v>
      </c>
      <c r="H34" s="31" t="str">
        <f t="shared" si="2"/>
        <v>YES</v>
      </c>
      <c r="I34" s="31" t="str">
        <f t="shared" si="2"/>
        <v>YES</v>
      </c>
      <c r="J34" s="31" t="str">
        <f t="shared" si="2"/>
        <v>YES</v>
      </c>
      <c r="K34" s="31" t="str">
        <f t="shared" si="2"/>
        <v>YES</v>
      </c>
      <c r="L34" s="31" t="str">
        <f t="shared" si="2"/>
        <v>YES</v>
      </c>
      <c r="M34" s="31" t="str">
        <f t="shared" si="2"/>
        <v>YES</v>
      </c>
      <c r="N34" s="31" t="str">
        <f t="shared" si="2"/>
        <v>YES</v>
      </c>
      <c r="O34" s="31" t="str">
        <f t="shared" si="2"/>
        <v>YES</v>
      </c>
      <c r="P34" s="31" t="str">
        <f t="shared" si="2"/>
        <v>YES</v>
      </c>
      <c r="Q34" s="31" t="str">
        <f t="shared" si="2"/>
        <v>YES</v>
      </c>
      <c r="R34" s="31" t="str">
        <f t="shared" si="2"/>
        <v>YES</v>
      </c>
      <c r="S34" s="31" t="str">
        <f t="shared" si="2"/>
        <v>YES</v>
      </c>
      <c r="T34" s="31" t="str">
        <f t="shared" si="2"/>
        <v>YES</v>
      </c>
      <c r="U34" s="31" t="str">
        <f t="shared" si="2"/>
        <v>YES</v>
      </c>
      <c r="V34" s="31" t="str">
        <f t="shared" si="2"/>
        <v>YES</v>
      </c>
      <c r="W34" s="31" t="str">
        <f t="shared" si="2"/>
        <v>YES</v>
      </c>
      <c r="X34" s="31" t="str">
        <f t="shared" si="2"/>
        <v>YES</v>
      </c>
      <c r="Y34" s="31" t="str">
        <f t="shared" si="2"/>
        <v>YES</v>
      </c>
      <c r="Z34" s="31" t="str">
        <f t="shared" si="2"/>
        <v>YES</v>
      </c>
      <c r="AA34" s="31" t="str">
        <f t="shared" si="2"/>
        <v>YES</v>
      </c>
      <c r="AB34" s="31" t="str">
        <f t="shared" si="2"/>
        <v>YES</v>
      </c>
      <c r="AC34" s="31" t="str">
        <f t="shared" si="2"/>
        <v>YES</v>
      </c>
      <c r="AD34" s="31" t="str">
        <f t="shared" si="2"/>
        <v>YES</v>
      </c>
      <c r="AE34" s="31" t="str">
        <f t="shared" si="2"/>
        <v>YES</v>
      </c>
      <c r="AF34" s="31" t="str">
        <f t="shared" si="2"/>
        <v>YES</v>
      </c>
      <c r="AG34" s="31" t="str">
        <f t="shared" si="2"/>
        <v>YES</v>
      </c>
      <c r="AH34" s="31" t="str">
        <f t="shared" si="2"/>
        <v>YES</v>
      </c>
      <c r="AI34" s="31" t="str">
        <f t="shared" si="2"/>
        <v>YES</v>
      </c>
      <c r="AJ34" s="31" t="str">
        <f t="shared" si="2"/>
        <v>YES</v>
      </c>
      <c r="AK34" s="31" t="str">
        <f t="shared" si="2"/>
        <v>YES</v>
      </c>
      <c r="AL34" s="31" t="str">
        <f t="shared" si="2"/>
        <v>YES</v>
      </c>
      <c r="AM34" s="31" t="str">
        <f t="shared" si="2"/>
        <v>YES</v>
      </c>
      <c r="AN34" s="31" t="str">
        <f t="shared" si="2"/>
        <v>YES</v>
      </c>
      <c r="AO34" s="31" t="str">
        <f t="shared" si="2"/>
        <v>YES</v>
      </c>
      <c r="AP34" s="31" t="str">
        <f t="shared" si="2"/>
        <v>YES</v>
      </c>
      <c r="AQ34" s="31" t="str">
        <f t="shared" si="2"/>
        <v>YES</v>
      </c>
      <c r="AR34" s="31" t="str">
        <f t="shared" si="2"/>
        <v>YES</v>
      </c>
      <c r="AS34" s="31" t="str">
        <f t="shared" si="2"/>
        <v>YES</v>
      </c>
      <c r="AT34" s="31" t="str">
        <f t="shared" si="2"/>
        <v>YES</v>
      </c>
      <c r="AU34" s="31" t="str">
        <f t="shared" si="2"/>
        <v>YES</v>
      </c>
      <c r="AV34" s="31" t="str">
        <f t="shared" si="2"/>
        <v>YES</v>
      </c>
      <c r="AW34" s="31" t="str">
        <f t="shared" si="2"/>
        <v>YES</v>
      </c>
      <c r="AX34" s="31" t="str">
        <f t="shared" si="2"/>
        <v>YES</v>
      </c>
      <c r="AY34" s="31" t="str">
        <f t="shared" si="2"/>
        <v>YES</v>
      </c>
      <c r="AZ34" s="31" t="str">
        <f t="shared" si="2"/>
        <v>YES</v>
      </c>
      <c r="BA34" s="31" t="str">
        <f t="shared" si="2"/>
        <v>YES</v>
      </c>
      <c r="BB34" s="31" t="str">
        <f t="shared" si="2"/>
        <v>YES</v>
      </c>
      <c r="BC34" s="31" t="str">
        <f t="shared" si="2"/>
        <v>YES</v>
      </c>
      <c r="BD34" s="31" t="str">
        <f t="shared" si="2"/>
        <v>YES</v>
      </c>
      <c r="BE34" s="31" t="str">
        <f t="shared" si="2"/>
        <v>YES</v>
      </c>
      <c r="BF34" s="31" t="str">
        <f t="shared" si="2"/>
        <v>YES</v>
      </c>
      <c r="BG34" s="31" t="str">
        <f t="shared" si="2"/>
        <v>YES</v>
      </c>
      <c r="BH34" s="31" t="str">
        <f t="shared" si="2"/>
        <v>YES</v>
      </c>
      <c r="BI34" s="31" t="str">
        <f t="shared" si="2"/>
        <v>YES</v>
      </c>
      <c r="BJ34" s="31" t="str">
        <f t="shared" si="2"/>
        <v>YES</v>
      </c>
      <c r="BK34" s="31" t="str">
        <f t="shared" si="2"/>
        <v>YES</v>
      </c>
      <c r="BL34" s="31" t="str">
        <f t="shared" si="2"/>
        <v>YES</v>
      </c>
      <c r="BM34" s="31" t="str">
        <f t="shared" si="2"/>
        <v>YES</v>
      </c>
      <c r="BN34" s="31" t="str">
        <f t="shared" si="2"/>
        <v>YES</v>
      </c>
      <c r="BO34" s="31" t="str">
        <f t="shared" ref="BO34:BX34" si="3">IF(BO2=BO18, "YES", "NO")</f>
        <v>YES</v>
      </c>
      <c r="BP34" s="31" t="str">
        <f t="shared" si="3"/>
        <v>YES</v>
      </c>
      <c r="BQ34" s="31" t="str">
        <f t="shared" si="3"/>
        <v>YES</v>
      </c>
      <c r="BR34" s="31" t="str">
        <f t="shared" si="3"/>
        <v>YES</v>
      </c>
      <c r="BS34" s="31" t="str">
        <f t="shared" si="3"/>
        <v>YES</v>
      </c>
      <c r="BT34" s="31" t="str">
        <f t="shared" si="3"/>
        <v>YES</v>
      </c>
      <c r="BU34" s="31" t="str">
        <f t="shared" si="3"/>
        <v>YES</v>
      </c>
      <c r="BV34" s="31" t="str">
        <f t="shared" si="3"/>
        <v>YES</v>
      </c>
      <c r="BW34" s="32" t="str">
        <f t="shared" si="3"/>
        <v>YES</v>
      </c>
      <c r="BX34" s="33" t="s">
        <v>75</v>
      </c>
      <c r="BY34" s="34" t="s">
        <v>100</v>
      </c>
      <c r="BZ34" s="35" t="s">
        <v>101</v>
      </c>
      <c r="CH34" s="36" t="str">
        <f>IF(CH2=CH18, "YES", "NO")</f>
        <v>YES</v>
      </c>
    </row>
    <row r="35" spans="1:86" x14ac:dyDescent="0.2">
      <c r="A35" s="37" t="s">
        <v>102</v>
      </c>
      <c r="B35" s="29" t="s">
        <v>103</v>
      </c>
      <c r="C35" s="38">
        <f t="shared" ref="C35:BN35" si="4">C9/C3</f>
        <v>4.609620153960698E-2</v>
      </c>
      <c r="D35" s="39">
        <f t="shared" si="4"/>
        <v>5.8846737775867214E-2</v>
      </c>
      <c r="E35" s="39">
        <f t="shared" si="4"/>
        <v>6.0215041966980402E-2</v>
      </c>
      <c r="F35" s="39">
        <f t="shared" si="4"/>
        <v>6.5254118480141177E-2</v>
      </c>
      <c r="G35" s="39">
        <f t="shared" si="4"/>
        <v>5.0539885978348111E-2</v>
      </c>
      <c r="H35" s="39">
        <f t="shared" si="4"/>
        <v>4.6995354286392538E-2</v>
      </c>
      <c r="I35" s="39">
        <f t="shared" si="4"/>
        <v>6.1841208712737621E-2</v>
      </c>
      <c r="J35" s="39">
        <f t="shared" si="4"/>
        <v>4.3107654870301215E-2</v>
      </c>
      <c r="K35" s="39">
        <f t="shared" si="4"/>
        <v>4.6346632097164588E-2</v>
      </c>
      <c r="L35" s="39">
        <f t="shared" si="4"/>
        <v>4.4445580191227747E-2</v>
      </c>
      <c r="M35" s="39">
        <f t="shared" si="4"/>
        <v>4.9417882368860522E-2</v>
      </c>
      <c r="N35" s="39">
        <f t="shared" si="4"/>
        <v>4.5186443136875018E-2</v>
      </c>
      <c r="O35" s="39">
        <f t="shared" si="4"/>
        <v>4.8010035429629637E-2</v>
      </c>
      <c r="P35" s="39">
        <f t="shared" si="4"/>
        <v>4.5949181651083984E-2</v>
      </c>
      <c r="Q35" s="39">
        <f t="shared" si="4"/>
        <v>5.6429717405522849E-2</v>
      </c>
      <c r="R35" s="39">
        <f t="shared" si="4"/>
        <v>5.4078459150258128E-2</v>
      </c>
      <c r="S35" s="39">
        <f t="shared" si="4"/>
        <v>5.3642607847950191E-2</v>
      </c>
      <c r="T35" s="39">
        <f t="shared" si="4"/>
        <v>5.4202108618754748E-2</v>
      </c>
      <c r="U35" s="39">
        <f t="shared" si="4"/>
        <v>5.245434149485742E-2</v>
      </c>
      <c r="V35" s="39">
        <f t="shared" si="4"/>
        <v>5.086368248323038E-2</v>
      </c>
      <c r="W35" s="39">
        <f t="shared" si="4"/>
        <v>5.344457653690611E-2</v>
      </c>
      <c r="X35" s="39">
        <f t="shared" si="4"/>
        <v>4.6771288715018233E-2</v>
      </c>
      <c r="Y35" s="39">
        <f t="shared" si="4"/>
        <v>5.2468182014490966E-2</v>
      </c>
      <c r="Z35" s="39">
        <f t="shared" si="4"/>
        <v>4.7330713139407121E-2</v>
      </c>
      <c r="AA35" s="39">
        <f t="shared" si="4"/>
        <v>5.0200780235614098E-2</v>
      </c>
      <c r="AB35" s="39">
        <f t="shared" si="4"/>
        <v>4.8574076220952521E-2</v>
      </c>
      <c r="AC35" s="39">
        <f t="shared" si="4"/>
        <v>4.4008004915444127E-2</v>
      </c>
      <c r="AD35" s="39">
        <f t="shared" si="4"/>
        <v>4.7221490699593159E-2</v>
      </c>
      <c r="AE35" s="39">
        <f t="shared" si="4"/>
        <v>4.9589274299076842E-2</v>
      </c>
      <c r="AF35" s="39">
        <f t="shared" si="4"/>
        <v>5.1255366226239475E-2</v>
      </c>
      <c r="AG35" s="39">
        <f t="shared" si="4"/>
        <v>5.4605097965164114E-2</v>
      </c>
      <c r="AH35" s="39">
        <f t="shared" si="4"/>
        <v>5.0821931904706463E-2</v>
      </c>
      <c r="AI35" s="39">
        <f t="shared" si="4"/>
        <v>5.1570354243235653E-2</v>
      </c>
      <c r="AJ35" s="39">
        <f t="shared" si="4"/>
        <v>4.6827067148403338E-2</v>
      </c>
      <c r="AK35" s="39">
        <f t="shared" si="4"/>
        <v>5.0397082977694733E-2</v>
      </c>
      <c r="AL35" s="39">
        <f t="shared" si="4"/>
        <v>4.5182087114727626E-2</v>
      </c>
      <c r="AM35" s="39">
        <f t="shared" si="4"/>
        <v>5.0073338614061581E-2</v>
      </c>
      <c r="AN35" s="39">
        <f t="shared" si="4"/>
        <v>5.4060827572119122E-2</v>
      </c>
      <c r="AO35" s="39">
        <f t="shared" si="4"/>
        <v>4.7381053720881368E-2</v>
      </c>
      <c r="AP35" s="39">
        <f t="shared" si="4"/>
        <v>4.9821966803534422E-2</v>
      </c>
      <c r="AQ35" s="39">
        <f t="shared" si="4"/>
        <v>5.1961326466769382E-2</v>
      </c>
      <c r="AR35" s="39">
        <f t="shared" si="4"/>
        <v>4.8672669650043306E-2</v>
      </c>
      <c r="AS35" s="39">
        <f t="shared" si="4"/>
        <v>5.1673947590223625E-2</v>
      </c>
      <c r="AT35" s="39">
        <f t="shared" si="4"/>
        <v>5.346559970389235E-2</v>
      </c>
      <c r="AU35" s="39">
        <f t="shared" si="4"/>
        <v>5.0964144874672414E-2</v>
      </c>
      <c r="AV35" s="39">
        <f t="shared" si="4"/>
        <v>5.1418708927212169E-2</v>
      </c>
      <c r="AW35" s="39">
        <f t="shared" si="4"/>
        <v>2.7838328118853766E-2</v>
      </c>
      <c r="AX35" s="39">
        <f t="shared" si="4"/>
        <v>4.8393950601962138E-2</v>
      </c>
      <c r="AY35" s="39">
        <f t="shared" si="4"/>
        <v>5.1025152632811578E-2</v>
      </c>
      <c r="AZ35" s="39">
        <f t="shared" si="4"/>
        <v>5.2797020266602136E-2</v>
      </c>
      <c r="BA35" s="39">
        <f t="shared" si="4"/>
        <v>4.5859317102046444E-2</v>
      </c>
      <c r="BB35" s="39">
        <f t="shared" si="4"/>
        <v>5.0091177766645074E-2</v>
      </c>
      <c r="BC35" s="39">
        <f t="shared" si="4"/>
        <v>5.3892604442555052E-2</v>
      </c>
      <c r="BD35" s="39">
        <f t="shared" si="4"/>
        <v>5.1669888977921519E-2</v>
      </c>
      <c r="BE35" s="39">
        <f t="shared" si="4"/>
        <v>4.9838768728678123E-2</v>
      </c>
      <c r="BF35" s="39">
        <f t="shared" si="4"/>
        <v>4.7107131281897086E-2</v>
      </c>
      <c r="BG35" s="39">
        <f t="shared" si="4"/>
        <v>5.1020506495047094E-2</v>
      </c>
      <c r="BH35" s="39">
        <f t="shared" si="4"/>
        <v>4.8894774131967349E-2</v>
      </c>
      <c r="BI35" s="39">
        <f t="shared" si="4"/>
        <v>5.5063045910791406E-2</v>
      </c>
      <c r="BJ35" s="39">
        <f t="shared" si="4"/>
        <v>5.2634001552843167E-2</v>
      </c>
      <c r="BK35" s="39">
        <f t="shared" si="4"/>
        <v>5.1810236881179382E-2</v>
      </c>
      <c r="BL35" s="39">
        <f t="shared" si="4"/>
        <v>5.2305398162291163E-2</v>
      </c>
      <c r="BM35" s="39">
        <f t="shared" si="4"/>
        <v>4.9734575950637766E-2</v>
      </c>
      <c r="BN35" s="39">
        <f t="shared" si="4"/>
        <v>5.1567390513934393E-2</v>
      </c>
      <c r="BO35" s="39">
        <f t="shared" ref="BO35:BX35" si="5">BO9/BO3</f>
        <v>5.2550446689480917E-2</v>
      </c>
      <c r="BP35" s="39">
        <f t="shared" si="5"/>
        <v>4.7914243025863119E-2</v>
      </c>
      <c r="BQ35" s="39">
        <f t="shared" si="5"/>
        <v>5.1965621410141147E-2</v>
      </c>
      <c r="BR35" s="39">
        <f t="shared" si="5"/>
        <v>4.8246555854725683E-2</v>
      </c>
      <c r="BS35" s="39">
        <f t="shared" si="5"/>
        <v>4.419436059866428E-2</v>
      </c>
      <c r="BT35" s="39">
        <f t="shared" si="5"/>
        <v>5.3101662621239484E-2</v>
      </c>
      <c r="BU35" s="39">
        <f t="shared" si="5"/>
        <v>5.3920625400509799E-2</v>
      </c>
      <c r="BV35" s="39">
        <f t="shared" si="5"/>
        <v>4.7014249861513015E-2</v>
      </c>
      <c r="BW35" s="40">
        <f t="shared" si="5"/>
        <v>4.7950674489537631E-2</v>
      </c>
      <c r="BX35" s="41">
        <f>AVERAGE(C35:BW35)</f>
        <v>5.0302541688167314E-2</v>
      </c>
      <c r="BY35" s="42">
        <f>BX35-BX36</f>
        <v>9.2845616528247008E-3</v>
      </c>
      <c r="BZ35" s="43">
        <f>BX46*BY35</f>
        <v>8.0759571427916743</v>
      </c>
      <c r="CH35" s="44">
        <f>CH9/CH3</f>
        <v>5.0076183226177531E-2</v>
      </c>
    </row>
    <row r="36" spans="1:86" x14ac:dyDescent="0.2">
      <c r="A36" s="37" t="s">
        <v>104</v>
      </c>
      <c r="B36" s="29" t="s">
        <v>105</v>
      </c>
      <c r="C36" s="38">
        <f t="shared" ref="C36:BN36" si="6">C25/C19</f>
        <v>3.7379463702397593E-2</v>
      </c>
      <c r="D36" s="39">
        <f t="shared" si="6"/>
        <v>4.6878197902199013E-2</v>
      </c>
      <c r="E36" s="39">
        <f t="shared" si="6"/>
        <v>4.7462160643605332E-2</v>
      </c>
      <c r="F36" s="39">
        <f t="shared" si="6"/>
        <v>5.333189969026654E-2</v>
      </c>
      <c r="G36" s="39">
        <f t="shared" si="6"/>
        <v>4.0892717567149982E-2</v>
      </c>
      <c r="H36" s="39">
        <f t="shared" si="6"/>
        <v>3.7341870736686586E-2</v>
      </c>
      <c r="I36" s="39">
        <f t="shared" si="6"/>
        <v>4.9550396203424191E-2</v>
      </c>
      <c r="J36" s="39">
        <f t="shared" si="6"/>
        <v>3.5210447997981863E-2</v>
      </c>
      <c r="K36" s="39">
        <f t="shared" si="6"/>
        <v>3.8072648921154147E-2</v>
      </c>
      <c r="L36" s="39">
        <f t="shared" si="6"/>
        <v>3.6542831474615324E-2</v>
      </c>
      <c r="M36" s="39">
        <f t="shared" si="6"/>
        <v>4.0162361946619748E-2</v>
      </c>
      <c r="N36" s="39">
        <f t="shared" si="6"/>
        <v>3.7097727457094616E-2</v>
      </c>
      <c r="O36" s="39">
        <f t="shared" si="6"/>
        <v>3.8667196253506106E-2</v>
      </c>
      <c r="P36" s="39">
        <f t="shared" si="6"/>
        <v>3.7833004597895591E-2</v>
      </c>
      <c r="Q36" s="39">
        <f t="shared" si="6"/>
        <v>4.4183199597096857E-2</v>
      </c>
      <c r="R36" s="39">
        <f t="shared" si="6"/>
        <v>4.4640596536283772E-2</v>
      </c>
      <c r="S36" s="39">
        <f t="shared" si="6"/>
        <v>4.3856392442841494E-2</v>
      </c>
      <c r="T36" s="39">
        <f t="shared" si="6"/>
        <v>4.4151486393867151E-2</v>
      </c>
      <c r="U36" s="39">
        <f t="shared" si="6"/>
        <v>4.2452067271460399E-2</v>
      </c>
      <c r="V36" s="39">
        <f t="shared" si="6"/>
        <v>4.1619481629948461E-2</v>
      </c>
      <c r="W36" s="39">
        <f t="shared" si="6"/>
        <v>4.2670613430392981E-2</v>
      </c>
      <c r="X36" s="39">
        <f t="shared" si="6"/>
        <v>3.8367646134401696E-2</v>
      </c>
      <c r="Y36" s="39">
        <f t="shared" si="6"/>
        <v>4.173062247605034E-2</v>
      </c>
      <c r="Z36" s="39">
        <f t="shared" si="6"/>
        <v>3.7948381059464853E-2</v>
      </c>
      <c r="AA36" s="39">
        <f t="shared" si="6"/>
        <v>3.97128545492859E-2</v>
      </c>
      <c r="AB36" s="39">
        <f t="shared" si="6"/>
        <v>4.0694785908022578E-2</v>
      </c>
      <c r="AC36" s="39">
        <f t="shared" si="6"/>
        <v>3.7250972816031444E-2</v>
      </c>
      <c r="AD36" s="39">
        <f t="shared" si="6"/>
        <v>3.9075220584007066E-2</v>
      </c>
      <c r="AE36" s="39">
        <f t="shared" si="6"/>
        <v>4.107438645786949E-2</v>
      </c>
      <c r="AF36" s="39">
        <f t="shared" si="6"/>
        <v>4.1812147821046579E-2</v>
      </c>
      <c r="AG36" s="39">
        <f t="shared" si="6"/>
        <v>4.5140353898815842E-2</v>
      </c>
      <c r="AH36" s="39">
        <f t="shared" si="6"/>
        <v>4.1867030332353006E-2</v>
      </c>
      <c r="AI36" s="39">
        <f t="shared" si="6"/>
        <v>4.2190145648878012E-2</v>
      </c>
      <c r="AJ36" s="39">
        <f t="shared" si="6"/>
        <v>3.7783916651708077E-2</v>
      </c>
      <c r="AK36" s="39">
        <f t="shared" si="6"/>
        <v>4.1774989418999535E-2</v>
      </c>
      <c r="AL36" s="39">
        <f t="shared" si="6"/>
        <v>3.7037371001976169E-2</v>
      </c>
      <c r="AM36" s="39">
        <f t="shared" si="6"/>
        <v>4.1764486390935343E-2</v>
      </c>
      <c r="AN36" s="39">
        <f t="shared" si="6"/>
        <v>4.4276510923630837E-2</v>
      </c>
      <c r="AO36" s="39">
        <f t="shared" si="6"/>
        <v>3.9397885225116926E-2</v>
      </c>
      <c r="AP36" s="39">
        <f t="shared" si="6"/>
        <v>4.0852835013216945E-2</v>
      </c>
      <c r="AQ36" s="39">
        <f t="shared" si="6"/>
        <v>4.2101190517275636E-2</v>
      </c>
      <c r="AR36" s="39">
        <f t="shared" si="6"/>
        <v>4.0043022211152135E-2</v>
      </c>
      <c r="AS36" s="39">
        <f t="shared" si="6"/>
        <v>4.2423016640890647E-2</v>
      </c>
      <c r="AT36" s="39">
        <f t="shared" si="6"/>
        <v>4.371366744080793E-2</v>
      </c>
      <c r="AU36" s="39">
        <f t="shared" si="6"/>
        <v>4.1352714427164559E-2</v>
      </c>
      <c r="AV36" s="39">
        <f t="shared" si="6"/>
        <v>4.2181283549156928E-2</v>
      </c>
      <c r="AW36" s="39">
        <f t="shared" si="6"/>
        <v>2.0262107139560205E-2</v>
      </c>
      <c r="AX36" s="39">
        <f t="shared" si="6"/>
        <v>3.9878658870104944E-2</v>
      </c>
      <c r="AY36" s="39">
        <f t="shared" si="6"/>
        <v>4.2481316774972647E-2</v>
      </c>
      <c r="AZ36" s="39">
        <f t="shared" si="6"/>
        <v>4.2732374116774767E-2</v>
      </c>
      <c r="BA36" s="39">
        <f t="shared" si="6"/>
        <v>3.7587723623338135E-2</v>
      </c>
      <c r="BB36" s="39">
        <f t="shared" si="6"/>
        <v>4.0906009284861204E-2</v>
      </c>
      <c r="BC36" s="39">
        <f t="shared" si="6"/>
        <v>4.3711920252544112E-2</v>
      </c>
      <c r="BD36" s="39">
        <f t="shared" si="6"/>
        <v>4.2351810453138565E-2</v>
      </c>
      <c r="BE36" s="39">
        <f t="shared" si="6"/>
        <v>4.1955082256097627E-2</v>
      </c>
      <c r="BF36" s="39">
        <f t="shared" si="6"/>
        <v>3.9444111062335037E-2</v>
      </c>
      <c r="BG36" s="39">
        <f t="shared" si="6"/>
        <v>4.2193528582429897E-2</v>
      </c>
      <c r="BH36" s="39">
        <f t="shared" si="6"/>
        <v>4.0250834573829504E-2</v>
      </c>
      <c r="BI36" s="39">
        <f t="shared" si="6"/>
        <v>4.3948403224881055E-2</v>
      </c>
      <c r="BJ36" s="39">
        <f t="shared" si="6"/>
        <v>4.3577656851118772E-2</v>
      </c>
      <c r="BK36" s="39">
        <f t="shared" si="6"/>
        <v>4.2994721810521476E-2</v>
      </c>
      <c r="BL36" s="39">
        <f t="shared" si="6"/>
        <v>4.2538085578189951E-2</v>
      </c>
      <c r="BM36" s="39">
        <f t="shared" si="6"/>
        <v>4.0219953601821408E-2</v>
      </c>
      <c r="BN36" s="39">
        <f t="shared" si="6"/>
        <v>4.174911846775705E-2</v>
      </c>
      <c r="BO36" s="39">
        <f t="shared" ref="BO36:BX36" si="7">BO25/BO19</f>
        <v>4.3160103335902582E-2</v>
      </c>
      <c r="BP36" s="39">
        <f t="shared" si="7"/>
        <v>3.8297045725962951E-2</v>
      </c>
      <c r="BQ36" s="39">
        <f t="shared" si="7"/>
        <v>4.1021656087459994E-2</v>
      </c>
      <c r="BR36" s="39">
        <f t="shared" si="7"/>
        <v>3.9040874687723312E-2</v>
      </c>
      <c r="BS36" s="39">
        <f t="shared" si="7"/>
        <v>3.7869362575741985E-2</v>
      </c>
      <c r="BT36" s="39">
        <f t="shared" si="7"/>
        <v>4.3343067640407615E-2</v>
      </c>
      <c r="BU36" s="39">
        <f t="shared" si="7"/>
        <v>4.394063133546857E-2</v>
      </c>
      <c r="BV36" s="39">
        <f t="shared" si="7"/>
        <v>3.8044828275390297E-2</v>
      </c>
      <c r="BW36" s="40">
        <f t="shared" si="7"/>
        <v>3.9247356896932491E-2</v>
      </c>
      <c r="BX36" s="41">
        <f>AVERAGE(C36:BW36)</f>
        <v>4.1017980035342613E-2</v>
      </c>
      <c r="BY36" s="45"/>
      <c r="BZ36" s="46"/>
      <c r="CH36" s="44">
        <f>CH25/CH19</f>
        <v>4.0776815014601259E-2</v>
      </c>
    </row>
    <row r="37" spans="1:86" x14ac:dyDescent="0.2">
      <c r="A37" s="37"/>
      <c r="B37" s="29"/>
      <c r="C37" s="4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48"/>
      <c r="BX37" s="49"/>
      <c r="BY37" s="50"/>
      <c r="BZ37" s="51"/>
      <c r="CH37" s="17"/>
    </row>
    <row r="38" spans="1:86" x14ac:dyDescent="0.2">
      <c r="A38" s="37" t="s">
        <v>106</v>
      </c>
      <c r="B38" s="29" t="s">
        <v>107</v>
      </c>
      <c r="C38" s="38">
        <f t="shared" ref="C38:BN38" si="8">C5/C3</f>
        <v>0.97896853591337629</v>
      </c>
      <c r="D38" s="39">
        <f t="shared" si="8"/>
        <v>0.97317511479035856</v>
      </c>
      <c r="E38" s="39">
        <f t="shared" si="8"/>
        <v>0.9761924201601293</v>
      </c>
      <c r="F38" s="39">
        <f t="shared" si="8"/>
        <v>0.97084291118226562</v>
      </c>
      <c r="G38" s="39">
        <f t="shared" si="8"/>
        <v>0.97606023530443986</v>
      </c>
      <c r="H38" s="39">
        <f t="shared" si="8"/>
        <v>0.98115140485708618</v>
      </c>
      <c r="I38" s="39">
        <f t="shared" si="8"/>
        <v>0.97293045871239348</v>
      </c>
      <c r="J38" s="39">
        <f t="shared" si="8"/>
        <v>0.98927772584555185</v>
      </c>
      <c r="K38" s="39">
        <f t="shared" si="8"/>
        <v>0.98728796302053579</v>
      </c>
      <c r="L38" s="39">
        <f t="shared" si="8"/>
        <v>0.98612100328346231</v>
      </c>
      <c r="M38" s="39">
        <f t="shared" si="8"/>
        <v>0.97501091371861837</v>
      </c>
      <c r="N38" s="39">
        <f t="shared" si="8"/>
        <v>0.97734296369578488</v>
      </c>
      <c r="O38" s="39">
        <f t="shared" si="8"/>
        <v>0.97947208327457991</v>
      </c>
      <c r="P38" s="39">
        <f t="shared" si="8"/>
        <v>0.97736537257457146</v>
      </c>
      <c r="Q38" s="39">
        <f t="shared" si="8"/>
        <v>0.97825967358171373</v>
      </c>
      <c r="R38" s="39">
        <f t="shared" si="8"/>
        <v>0.97465711534517441</v>
      </c>
      <c r="S38" s="39">
        <f t="shared" si="8"/>
        <v>0.97328993989919732</v>
      </c>
      <c r="T38" s="39">
        <f t="shared" si="8"/>
        <v>0.97468380732382198</v>
      </c>
      <c r="U38" s="39">
        <f t="shared" si="8"/>
        <v>0.97443987950407385</v>
      </c>
      <c r="V38" s="39">
        <f t="shared" si="8"/>
        <v>0.97624268011967152</v>
      </c>
      <c r="W38" s="39">
        <f t="shared" si="8"/>
        <v>0.97696362324721664</v>
      </c>
      <c r="X38" s="39">
        <f t="shared" si="8"/>
        <v>0.97553771173331139</v>
      </c>
      <c r="Y38" s="39">
        <f t="shared" si="8"/>
        <v>0.97613473978289167</v>
      </c>
      <c r="Z38" s="39">
        <f t="shared" si="8"/>
        <v>0.97781667020228424</v>
      </c>
      <c r="AA38" s="39">
        <f t="shared" si="8"/>
        <v>0.97656019785339288</v>
      </c>
      <c r="AB38" s="39">
        <f t="shared" si="8"/>
        <v>0.97737282631354849</v>
      </c>
      <c r="AC38" s="39">
        <f t="shared" si="8"/>
        <v>0.98161633112788382</v>
      </c>
      <c r="AD38" s="39">
        <f t="shared" si="8"/>
        <v>0.98242131187990966</v>
      </c>
      <c r="AE38" s="39">
        <f t="shared" si="8"/>
        <v>0.9778055726569167</v>
      </c>
      <c r="AF38" s="39">
        <f t="shared" si="8"/>
        <v>0.97390574269275354</v>
      </c>
      <c r="AG38" s="39">
        <f t="shared" si="8"/>
        <v>0.97478452679166672</v>
      </c>
      <c r="AH38" s="39">
        <f t="shared" si="8"/>
        <v>0.97654071793033859</v>
      </c>
      <c r="AI38" s="39">
        <f t="shared" si="8"/>
        <v>0.97612751738764247</v>
      </c>
      <c r="AJ38" s="39">
        <f t="shared" si="8"/>
        <v>0.97726078695430108</v>
      </c>
      <c r="AK38" s="39">
        <f t="shared" si="8"/>
        <v>0.97529664180116737</v>
      </c>
      <c r="AL38" s="39">
        <f t="shared" si="8"/>
        <v>0.97796574909576361</v>
      </c>
      <c r="AM38" s="39">
        <f t="shared" si="8"/>
        <v>0.973658702229804</v>
      </c>
      <c r="AN38" s="39">
        <f t="shared" si="8"/>
        <v>0.97742307159671549</v>
      </c>
      <c r="AO38" s="39">
        <f t="shared" si="8"/>
        <v>0.97730200253483557</v>
      </c>
      <c r="AP38" s="39">
        <f t="shared" si="8"/>
        <v>0.97495831698057311</v>
      </c>
      <c r="AQ38" s="39">
        <f t="shared" si="8"/>
        <v>0.97829323651089428</v>
      </c>
      <c r="AR38" s="39">
        <f t="shared" si="8"/>
        <v>0.9764004596086282</v>
      </c>
      <c r="AS38" s="39">
        <f t="shared" si="8"/>
        <v>0.97407076573376905</v>
      </c>
      <c r="AT38" s="39">
        <f t="shared" si="8"/>
        <v>0.97428303222464319</v>
      </c>
      <c r="AU38" s="39">
        <f t="shared" si="8"/>
        <v>0.97936664661275319</v>
      </c>
      <c r="AV38" s="39">
        <f t="shared" si="8"/>
        <v>0.97740047335859392</v>
      </c>
      <c r="AW38" s="39">
        <f t="shared" si="8"/>
        <v>0.98134319253590929</v>
      </c>
      <c r="AX38" s="39">
        <f t="shared" si="8"/>
        <v>0.97714207410084197</v>
      </c>
      <c r="AY38" s="39">
        <f t="shared" si="8"/>
        <v>0.9773106933314103</v>
      </c>
      <c r="AZ38" s="39">
        <f t="shared" si="8"/>
        <v>0.97779428425780668</v>
      </c>
      <c r="BA38" s="39">
        <f t="shared" si="8"/>
        <v>0.97864905758167864</v>
      </c>
      <c r="BB38" s="39">
        <f t="shared" si="8"/>
        <v>0.97857900244800344</v>
      </c>
      <c r="BC38" s="39">
        <f t="shared" si="8"/>
        <v>0.97433858852787036</v>
      </c>
      <c r="BD38" s="39">
        <f t="shared" si="8"/>
        <v>0.97451360422447209</v>
      </c>
      <c r="BE38" s="39">
        <f t="shared" si="8"/>
        <v>0.97437849820666234</v>
      </c>
      <c r="BF38" s="39">
        <f t="shared" si="8"/>
        <v>0.97628657793579754</v>
      </c>
      <c r="BG38" s="39">
        <f t="shared" si="8"/>
        <v>0.97601552465824193</v>
      </c>
      <c r="BH38" s="39">
        <f t="shared" si="8"/>
        <v>0.97687595983727038</v>
      </c>
      <c r="BI38" s="39">
        <f t="shared" si="8"/>
        <v>0.97578036171693761</v>
      </c>
      <c r="BJ38" s="39">
        <f t="shared" si="8"/>
        <v>0.97593170589776057</v>
      </c>
      <c r="BK38" s="39">
        <f t="shared" si="8"/>
        <v>0.97331620494706095</v>
      </c>
      <c r="BL38" s="39">
        <f t="shared" si="8"/>
        <v>0.97557806342537501</v>
      </c>
      <c r="BM38" s="39">
        <f t="shared" si="8"/>
        <v>0.98002236165358858</v>
      </c>
      <c r="BN38" s="39">
        <f t="shared" si="8"/>
        <v>0.9794550761268106</v>
      </c>
      <c r="BO38" s="39">
        <f t="shared" ref="BO38:BX38" si="9">BO5/BO3</f>
        <v>0.97458290741215592</v>
      </c>
      <c r="BP38" s="39">
        <f t="shared" si="9"/>
        <v>0.97913287233780233</v>
      </c>
      <c r="BQ38" s="39">
        <f t="shared" si="9"/>
        <v>0.97851804295262312</v>
      </c>
      <c r="BR38" s="39">
        <f t="shared" si="9"/>
        <v>0.9794165723138144</v>
      </c>
      <c r="BS38" s="39">
        <f t="shared" si="9"/>
        <v>0.98128758635618318</v>
      </c>
      <c r="BT38" s="39">
        <f t="shared" si="9"/>
        <v>0.97863608513426836</v>
      </c>
      <c r="BU38" s="39">
        <f t="shared" si="9"/>
        <v>0.97804831490582944</v>
      </c>
      <c r="BV38" s="39">
        <f t="shared" si="9"/>
        <v>0.97958505323914213</v>
      </c>
      <c r="BW38" s="40">
        <f t="shared" si="9"/>
        <v>0.98632024451312217</v>
      </c>
      <c r="BX38" s="41">
        <f>AVERAGE(C38:BW38)</f>
        <v>0.97738189160996514</v>
      </c>
      <c r="BY38" s="42">
        <f>BX38-BX39</f>
        <v>1.3771853708677506E-2</v>
      </c>
      <c r="BZ38" s="43">
        <f>BX46*BY38</f>
        <v>11.979122384764249</v>
      </c>
      <c r="CH38" s="44">
        <f>CH5/CH3</f>
        <v>0.98857593959842416</v>
      </c>
    </row>
    <row r="39" spans="1:86" x14ac:dyDescent="0.2">
      <c r="A39" s="37" t="s">
        <v>108</v>
      </c>
      <c r="B39" s="29" t="s">
        <v>109</v>
      </c>
      <c r="C39" s="38">
        <f t="shared" ref="C39:BN39" si="10">C21/C19</f>
        <v>0.96475403523356562</v>
      </c>
      <c r="D39" s="39">
        <f t="shared" si="10"/>
        <v>0.95922474286433779</v>
      </c>
      <c r="E39" s="39">
        <f t="shared" si="10"/>
        <v>0.95985833790117447</v>
      </c>
      <c r="F39" s="39">
        <f t="shared" si="10"/>
        <v>0.95660301913178214</v>
      </c>
      <c r="G39" s="39">
        <f t="shared" si="10"/>
        <v>0.96158645790009989</v>
      </c>
      <c r="H39" s="39">
        <f t="shared" si="10"/>
        <v>0.96692617146027948</v>
      </c>
      <c r="I39" s="39">
        <f t="shared" si="10"/>
        <v>0.95845612637486832</v>
      </c>
      <c r="J39" s="39">
        <f t="shared" si="10"/>
        <v>0.97514704254299522</v>
      </c>
      <c r="K39" s="39">
        <f t="shared" si="10"/>
        <v>0.97307642630587043</v>
      </c>
      <c r="L39" s="39">
        <f t="shared" si="10"/>
        <v>0.97143591409513241</v>
      </c>
      <c r="M39" s="39">
        <f t="shared" si="10"/>
        <v>0.96146705141407629</v>
      </c>
      <c r="N39" s="39">
        <f t="shared" si="10"/>
        <v>0.96401000673263126</v>
      </c>
      <c r="O39" s="39">
        <f t="shared" si="10"/>
        <v>0.96513213585388757</v>
      </c>
      <c r="P39" s="39">
        <f t="shared" si="10"/>
        <v>0.96493477006168737</v>
      </c>
      <c r="Q39" s="39">
        <f t="shared" si="10"/>
        <v>0.96406217788802206</v>
      </c>
      <c r="R39" s="39">
        <f t="shared" si="10"/>
        <v>0.9603152786742859</v>
      </c>
      <c r="S39" s="39">
        <f t="shared" si="10"/>
        <v>0.95987316996064598</v>
      </c>
      <c r="T39" s="39">
        <f t="shared" si="10"/>
        <v>0.96145185439474457</v>
      </c>
      <c r="U39" s="39">
        <f t="shared" si="10"/>
        <v>0.95944647347020784</v>
      </c>
      <c r="V39" s="39">
        <f t="shared" si="10"/>
        <v>0.96235249513582932</v>
      </c>
      <c r="W39" s="39">
        <f t="shared" si="10"/>
        <v>0.961226175420966</v>
      </c>
      <c r="X39" s="39">
        <f t="shared" si="10"/>
        <v>0.96187153906175882</v>
      </c>
      <c r="Y39" s="39">
        <f t="shared" si="10"/>
        <v>0.96027251643107081</v>
      </c>
      <c r="Z39" s="39">
        <f t="shared" si="10"/>
        <v>0.96462479070462337</v>
      </c>
      <c r="AA39" s="39">
        <f t="shared" si="10"/>
        <v>0.9623973965072472</v>
      </c>
      <c r="AB39" s="39">
        <f t="shared" si="10"/>
        <v>0.96427355814224402</v>
      </c>
      <c r="AC39" s="39">
        <f t="shared" si="10"/>
        <v>0.96839319061086704</v>
      </c>
      <c r="AD39" s="39">
        <f t="shared" si="10"/>
        <v>0.96799160952878338</v>
      </c>
      <c r="AE39" s="39">
        <f t="shared" si="10"/>
        <v>0.96507951219438848</v>
      </c>
      <c r="AF39" s="39">
        <f t="shared" si="10"/>
        <v>0.96052196868266193</v>
      </c>
      <c r="AG39" s="39">
        <f t="shared" si="10"/>
        <v>0.96052085676367405</v>
      </c>
      <c r="AH39" s="39">
        <f t="shared" si="10"/>
        <v>0.96268092424882101</v>
      </c>
      <c r="AI39" s="39">
        <f t="shared" si="10"/>
        <v>0.96160937147513037</v>
      </c>
      <c r="AJ39" s="39">
        <f t="shared" si="10"/>
        <v>0.96404509710567055</v>
      </c>
      <c r="AK39" s="39">
        <f t="shared" si="10"/>
        <v>0.96154348019894487</v>
      </c>
      <c r="AL39" s="39">
        <f t="shared" si="10"/>
        <v>0.96441354274871849</v>
      </c>
      <c r="AM39" s="39">
        <f t="shared" si="10"/>
        <v>0.95958001121939118</v>
      </c>
      <c r="AN39" s="39">
        <f t="shared" si="10"/>
        <v>0.96296679336636493</v>
      </c>
      <c r="AO39" s="39">
        <f t="shared" si="10"/>
        <v>0.9641252902959383</v>
      </c>
      <c r="AP39" s="39">
        <f t="shared" si="10"/>
        <v>0.96147652335401268</v>
      </c>
      <c r="AQ39" s="39">
        <f t="shared" si="10"/>
        <v>0.96455210977417394</v>
      </c>
      <c r="AR39" s="39">
        <f t="shared" si="10"/>
        <v>0.96259128214036438</v>
      </c>
      <c r="AS39" s="39">
        <f t="shared" si="10"/>
        <v>0.95982141603128301</v>
      </c>
      <c r="AT39" s="39">
        <f t="shared" si="10"/>
        <v>0.95990052093000122</v>
      </c>
      <c r="AU39" s="39">
        <f t="shared" si="10"/>
        <v>0.96566758011672271</v>
      </c>
      <c r="AV39" s="39">
        <f t="shared" si="10"/>
        <v>0.96440803640103157</v>
      </c>
      <c r="AW39" s="39">
        <f t="shared" si="10"/>
        <v>0.97196069512044425</v>
      </c>
      <c r="AX39" s="39">
        <f t="shared" si="10"/>
        <v>0.96527846462028755</v>
      </c>
      <c r="AY39" s="39">
        <f t="shared" si="10"/>
        <v>0.96323940514163331</v>
      </c>
      <c r="AZ39" s="39">
        <f t="shared" si="10"/>
        <v>0.96468856417762117</v>
      </c>
      <c r="BA39" s="39">
        <f t="shared" si="10"/>
        <v>0.96422729386321315</v>
      </c>
      <c r="BB39" s="39">
        <f t="shared" si="10"/>
        <v>0.96496550019804039</v>
      </c>
      <c r="BC39" s="39">
        <f t="shared" si="10"/>
        <v>0.96035540805522779</v>
      </c>
      <c r="BD39" s="39">
        <f t="shared" si="10"/>
        <v>0.96130655519927577</v>
      </c>
      <c r="BE39" s="39">
        <f t="shared" si="10"/>
        <v>0.96094132978371283</v>
      </c>
      <c r="BF39" s="39">
        <f t="shared" si="10"/>
        <v>0.96401146634409474</v>
      </c>
      <c r="BG39" s="39">
        <f t="shared" si="10"/>
        <v>0.96347225669745296</v>
      </c>
      <c r="BH39" s="39">
        <f t="shared" si="10"/>
        <v>0.96290531915244015</v>
      </c>
      <c r="BI39" s="39">
        <f t="shared" si="10"/>
        <v>0.9611027549691904</v>
      </c>
      <c r="BJ39" s="39">
        <f t="shared" si="10"/>
        <v>0.96263731922861628</v>
      </c>
      <c r="BK39" s="39">
        <f t="shared" si="10"/>
        <v>0.96121746355932802</v>
      </c>
      <c r="BL39" s="39">
        <f t="shared" si="10"/>
        <v>0.96073184318925375</v>
      </c>
      <c r="BM39" s="39">
        <f t="shared" si="10"/>
        <v>0.96683820151768707</v>
      </c>
      <c r="BN39" s="39">
        <f t="shared" si="10"/>
        <v>0.96580267462973124</v>
      </c>
      <c r="BO39" s="39">
        <f t="shared" ref="BO39:BX39" si="11">BO21/BO19</f>
        <v>0.9610863443228006</v>
      </c>
      <c r="BP39" s="39">
        <f t="shared" si="11"/>
        <v>0.96534333308763454</v>
      </c>
      <c r="BQ39" s="39">
        <f t="shared" si="11"/>
        <v>0.96531541778851782</v>
      </c>
      <c r="BR39" s="39">
        <f t="shared" si="11"/>
        <v>0.96627423877666452</v>
      </c>
      <c r="BS39" s="39">
        <f t="shared" si="11"/>
        <v>0.96940127529785203</v>
      </c>
      <c r="BT39" s="39">
        <f t="shared" si="11"/>
        <v>0.96258248174889183</v>
      </c>
      <c r="BU39" s="39">
        <f t="shared" si="11"/>
        <v>0.96437516798100942</v>
      </c>
      <c r="BV39" s="39">
        <f t="shared" si="11"/>
        <v>0.96405880889588358</v>
      </c>
      <c r="BW39" s="40">
        <f t="shared" si="11"/>
        <v>0.97274440259649841</v>
      </c>
      <c r="BX39" s="41">
        <f>AVERAGE(C39:BW39)</f>
        <v>0.96361003790128763</v>
      </c>
      <c r="BY39" s="45"/>
      <c r="BZ39" s="46"/>
      <c r="CH39" s="44">
        <f>CH21/CH19</f>
        <v>0.97456419541796435</v>
      </c>
    </row>
    <row r="40" spans="1:86" x14ac:dyDescent="0.2">
      <c r="A40" s="37"/>
      <c r="B40" s="29"/>
      <c r="C40" s="47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48"/>
      <c r="BX40" s="49"/>
      <c r="BY40" s="50"/>
      <c r="BZ40" s="51"/>
      <c r="CH40" s="17"/>
    </row>
    <row r="41" spans="1:86" x14ac:dyDescent="0.2">
      <c r="A41" s="37" t="s">
        <v>110</v>
      </c>
      <c r="B41" s="29" t="s">
        <v>111</v>
      </c>
      <c r="C41" s="52">
        <f t="shared" ref="C41:BN41" si="12">C14/C3</f>
        <v>5.9316475793324067E-3</v>
      </c>
      <c r="D41" s="53">
        <f t="shared" si="12"/>
        <v>5.853918117356278E-3</v>
      </c>
      <c r="E41" s="53">
        <f t="shared" si="12"/>
        <v>4.7603363589005451E-3</v>
      </c>
      <c r="F41" s="53">
        <f t="shared" si="12"/>
        <v>6.4734219418774589E-3</v>
      </c>
      <c r="G41" s="53">
        <f t="shared" si="12"/>
        <v>3.5751268634657994E-3</v>
      </c>
      <c r="H41" s="53">
        <f t="shared" si="12"/>
        <v>4.6866486969217858E-3</v>
      </c>
      <c r="I41" s="53">
        <f t="shared" si="12"/>
        <v>5.9825999401262727E-3</v>
      </c>
      <c r="J41" s="53">
        <f t="shared" si="12"/>
        <v>1.2981851456116413E-3</v>
      </c>
      <c r="K41" s="53">
        <f t="shared" si="12"/>
        <v>1.8152304207991799E-3</v>
      </c>
      <c r="L41" s="53">
        <f t="shared" si="12"/>
        <v>2.4176484263827192E-3</v>
      </c>
      <c r="M41" s="53">
        <f t="shared" si="12"/>
        <v>7.1837726951885462E-3</v>
      </c>
      <c r="N41" s="53">
        <f t="shared" si="12"/>
        <v>6.6200694108327837E-3</v>
      </c>
      <c r="O41" s="53">
        <f t="shared" si="12"/>
        <v>5.494968251659565E-3</v>
      </c>
      <c r="P41" s="53">
        <f t="shared" si="12"/>
        <v>3.455724649825452E-3</v>
      </c>
      <c r="Q41" s="53">
        <f t="shared" si="12"/>
        <v>5.5974279770431004E-3</v>
      </c>
      <c r="R41" s="53">
        <f t="shared" si="12"/>
        <v>6.9875954460050993E-3</v>
      </c>
      <c r="S41" s="53">
        <f t="shared" si="12"/>
        <v>7.4889095725917277E-3</v>
      </c>
      <c r="T41" s="53">
        <f t="shared" si="12"/>
        <v>4.4279627962408447E-3</v>
      </c>
      <c r="U41" s="53">
        <f t="shared" si="12"/>
        <v>4.769817234397628E-3</v>
      </c>
      <c r="V41" s="53">
        <f t="shared" si="12"/>
        <v>3.9004431582909272E-3</v>
      </c>
      <c r="W41" s="53">
        <f t="shared" si="12"/>
        <v>6.5576858054550548E-3</v>
      </c>
      <c r="X41" s="53">
        <f t="shared" si="12"/>
        <v>7.1874406697757572E-3</v>
      </c>
      <c r="Y41" s="53">
        <f t="shared" si="12"/>
        <v>6.9209277104493047E-3</v>
      </c>
      <c r="Z41" s="53">
        <f t="shared" si="12"/>
        <v>6.1611542004836673E-3</v>
      </c>
      <c r="AA41" s="53">
        <f t="shared" si="12"/>
        <v>6.3460717172439882E-3</v>
      </c>
      <c r="AB41" s="53">
        <f t="shared" si="12"/>
        <v>6.3568488442656956E-3</v>
      </c>
      <c r="AC41" s="53">
        <f t="shared" si="12"/>
        <v>3.319312689462563E-3</v>
      </c>
      <c r="AD41" s="53">
        <f t="shared" si="12"/>
        <v>3.0944022746449088E-3</v>
      </c>
      <c r="AE41" s="53">
        <f t="shared" si="12"/>
        <v>6.1088734012506325E-3</v>
      </c>
      <c r="AF41" s="53">
        <f t="shared" si="12"/>
        <v>7.3470455345461547E-3</v>
      </c>
      <c r="AG41" s="53">
        <f t="shared" si="12"/>
        <v>6.8575958553571958E-3</v>
      </c>
      <c r="AH41" s="53">
        <f t="shared" si="12"/>
        <v>6.479305801198423E-3</v>
      </c>
      <c r="AI41" s="53">
        <f t="shared" si="12"/>
        <v>6.4282543994689315E-3</v>
      </c>
      <c r="AJ41" s="53">
        <f t="shared" si="12"/>
        <v>6.3271351583730649E-3</v>
      </c>
      <c r="AK41" s="53">
        <f t="shared" si="12"/>
        <v>7.0554180358449198E-3</v>
      </c>
      <c r="AL41" s="53">
        <f t="shared" si="12"/>
        <v>6.4035109952504344E-3</v>
      </c>
      <c r="AM41" s="53">
        <f t="shared" si="12"/>
        <v>4.5615205735890464E-3</v>
      </c>
      <c r="AN41" s="53">
        <f t="shared" si="12"/>
        <v>2.7130132747464715E-3</v>
      </c>
      <c r="AO41" s="53">
        <f t="shared" si="12"/>
        <v>3.1780732843050448E-3</v>
      </c>
      <c r="AP41" s="53">
        <f t="shared" si="12"/>
        <v>4.1735309867815358E-3</v>
      </c>
      <c r="AQ41" s="53">
        <f t="shared" si="12"/>
        <v>2.775067297539951E-3</v>
      </c>
      <c r="AR41" s="53">
        <f t="shared" si="12"/>
        <v>3.6286769503412713E-3</v>
      </c>
      <c r="AS41" s="53">
        <f t="shared" si="12"/>
        <v>7.3973606973665477E-3</v>
      </c>
      <c r="AT41" s="53">
        <f t="shared" si="12"/>
        <v>7.1508395621452574E-3</v>
      </c>
      <c r="AU41" s="53">
        <f t="shared" si="12"/>
        <v>5.3353279551518274E-3</v>
      </c>
      <c r="AV41" s="53">
        <f t="shared" si="12"/>
        <v>6.2757898863898334E-3</v>
      </c>
      <c r="AW41" s="53">
        <f t="shared" si="12"/>
        <v>5.8141157381339185E-3</v>
      </c>
      <c r="AX41" s="53">
        <f t="shared" si="12"/>
        <v>6.367329007960755E-3</v>
      </c>
      <c r="AY41" s="53">
        <f t="shared" si="12"/>
        <v>6.0103969597598578E-3</v>
      </c>
      <c r="AZ41" s="53">
        <f t="shared" si="12"/>
        <v>5.6585972530750466E-3</v>
      </c>
      <c r="BA41" s="53">
        <f t="shared" si="12"/>
        <v>5.6952269630893577E-3</v>
      </c>
      <c r="BB41" s="53">
        <f t="shared" si="12"/>
        <v>5.5740101743891107E-3</v>
      </c>
      <c r="BC41" s="53">
        <f t="shared" si="12"/>
        <v>7.2214084384465164E-3</v>
      </c>
      <c r="BD41" s="53">
        <f t="shared" si="12"/>
        <v>7.168191357399779E-3</v>
      </c>
      <c r="BE41" s="53">
        <f t="shared" si="12"/>
        <v>7.5632661278356291E-3</v>
      </c>
      <c r="BF41" s="53">
        <f t="shared" si="12"/>
        <v>6.7894425181851299E-3</v>
      </c>
      <c r="BG41" s="53">
        <f t="shared" si="12"/>
        <v>6.6267885086308395E-3</v>
      </c>
      <c r="BH41" s="53">
        <f t="shared" si="12"/>
        <v>6.482460317001614E-3</v>
      </c>
      <c r="BI41" s="53">
        <f t="shared" si="12"/>
        <v>6.4551791890187227E-3</v>
      </c>
      <c r="BJ41" s="53">
        <f t="shared" si="12"/>
        <v>6.7279421026050813E-3</v>
      </c>
      <c r="BK41" s="53">
        <f t="shared" si="12"/>
        <v>7.6851665433005202E-3</v>
      </c>
      <c r="BL41" s="53">
        <f t="shared" si="12"/>
        <v>6.876477549822897E-3</v>
      </c>
      <c r="BM41" s="53">
        <f t="shared" si="12"/>
        <v>5.3306996532641307E-3</v>
      </c>
      <c r="BN41" s="53">
        <f t="shared" si="12"/>
        <v>5.3414350071152592E-3</v>
      </c>
      <c r="BO41" s="53">
        <f t="shared" ref="BO41:BX41" si="13">BO14/BO3</f>
        <v>7.2426377132542141E-3</v>
      </c>
      <c r="BP41" s="53">
        <f t="shared" si="13"/>
        <v>5.5536333117300581E-3</v>
      </c>
      <c r="BQ41" s="53">
        <f t="shared" si="13"/>
        <v>5.4314826477395899E-3</v>
      </c>
      <c r="BR41" s="53">
        <f t="shared" si="13"/>
        <v>5.3784810321506017E-3</v>
      </c>
      <c r="BS41" s="53">
        <f t="shared" si="13"/>
        <v>4.9370213909397786E-3</v>
      </c>
      <c r="BT41" s="53">
        <f t="shared" si="13"/>
        <v>5.5017174943666793E-3</v>
      </c>
      <c r="BU41" s="53">
        <f t="shared" si="13"/>
        <v>5.6287386444580914E-3</v>
      </c>
      <c r="BV41" s="53">
        <f t="shared" si="13"/>
        <v>5.5057854624425469E-3</v>
      </c>
      <c r="BW41" s="54">
        <f t="shared" si="13"/>
        <v>1.9828913846162252E-3</v>
      </c>
      <c r="BX41" s="41">
        <f>AVERAGE(C41:BW41)</f>
        <v>5.580988503219305E-3</v>
      </c>
      <c r="BY41" s="42">
        <f>BX41-BX42</f>
        <v>7.6051223199845482E-5</v>
      </c>
      <c r="BZ41" s="43">
        <f>BX46*BY41</f>
        <v>6.615136418766504E-2</v>
      </c>
      <c r="CH41" s="55">
        <f>CH14/CH3</f>
        <v>1.2903257603463347E-3</v>
      </c>
    </row>
    <row r="42" spans="1:86" x14ac:dyDescent="0.2">
      <c r="A42" s="37" t="s">
        <v>112</v>
      </c>
      <c r="B42" s="29" t="s">
        <v>113</v>
      </c>
      <c r="C42" s="52">
        <f t="shared" ref="C42:BN42" si="14">C30/C19</f>
        <v>5.8228510805458872E-3</v>
      </c>
      <c r="D42" s="53">
        <f t="shared" si="14"/>
        <v>5.7649211709638777E-3</v>
      </c>
      <c r="E42" s="53">
        <f t="shared" si="14"/>
        <v>4.6797245224918602E-3</v>
      </c>
      <c r="F42" s="53">
        <f t="shared" si="14"/>
        <v>6.4347988868715712E-3</v>
      </c>
      <c r="G42" s="53">
        <f t="shared" si="14"/>
        <v>3.5564692886206934E-3</v>
      </c>
      <c r="H42" s="53">
        <f t="shared" si="14"/>
        <v>4.6429224289720634E-3</v>
      </c>
      <c r="I42" s="53">
        <f t="shared" si="14"/>
        <v>5.8820310178734469E-3</v>
      </c>
      <c r="J42" s="53">
        <f t="shared" si="14"/>
        <v>1.278656955245092E-3</v>
      </c>
      <c r="K42" s="53">
        <f t="shared" si="14"/>
        <v>1.7686297132799597E-3</v>
      </c>
      <c r="L42" s="53">
        <f t="shared" si="14"/>
        <v>2.3452111414925137E-3</v>
      </c>
      <c r="M42" s="53">
        <f t="shared" si="14"/>
        <v>7.113374496851536E-3</v>
      </c>
      <c r="N42" s="53">
        <f t="shared" si="14"/>
        <v>6.5073565512667672E-3</v>
      </c>
      <c r="O42" s="53">
        <f t="shared" si="14"/>
        <v>5.4780742411621028E-3</v>
      </c>
      <c r="P42" s="53">
        <f t="shared" si="14"/>
        <v>3.5067440032834963E-3</v>
      </c>
      <c r="Q42" s="53">
        <f t="shared" si="14"/>
        <v>5.3980613026512721E-3</v>
      </c>
      <c r="R42" s="53">
        <f t="shared" si="14"/>
        <v>6.9756208241055391E-3</v>
      </c>
      <c r="S42" s="53">
        <f t="shared" si="14"/>
        <v>7.3455226438530917E-3</v>
      </c>
      <c r="T42" s="53">
        <f t="shared" si="14"/>
        <v>4.3918464479600411E-3</v>
      </c>
      <c r="U42" s="53">
        <f t="shared" si="14"/>
        <v>4.7405332032389889E-3</v>
      </c>
      <c r="V42" s="53">
        <f t="shared" si="14"/>
        <v>3.900777764830209E-3</v>
      </c>
      <c r="W42" s="53">
        <f t="shared" si="14"/>
        <v>6.5095706217252391E-3</v>
      </c>
      <c r="X42" s="53">
        <f t="shared" si="14"/>
        <v>7.0901184506183294E-3</v>
      </c>
      <c r="Y42" s="53">
        <f t="shared" si="14"/>
        <v>6.8739629081003267E-3</v>
      </c>
      <c r="Z42" s="53">
        <f t="shared" si="14"/>
        <v>6.0649470109175648E-3</v>
      </c>
      <c r="AA42" s="53">
        <f t="shared" si="14"/>
        <v>6.2677196907084684E-3</v>
      </c>
      <c r="AB42" s="53">
        <f t="shared" si="14"/>
        <v>6.2366621451951446E-3</v>
      </c>
      <c r="AC42" s="53">
        <f t="shared" si="14"/>
        <v>3.1406412098418188E-3</v>
      </c>
      <c r="AD42" s="53">
        <f t="shared" si="14"/>
        <v>2.9207302869496583E-3</v>
      </c>
      <c r="AE42" s="53">
        <f t="shared" si="14"/>
        <v>6.0278844857692632E-3</v>
      </c>
      <c r="AF42" s="53">
        <f t="shared" si="14"/>
        <v>7.2595966062286655E-3</v>
      </c>
      <c r="AG42" s="53">
        <f t="shared" si="14"/>
        <v>6.7371986658789221E-3</v>
      </c>
      <c r="AH42" s="53">
        <f t="shared" si="14"/>
        <v>6.398771635068759E-3</v>
      </c>
      <c r="AI42" s="53">
        <f t="shared" si="14"/>
        <v>6.3587684920236153E-3</v>
      </c>
      <c r="AJ42" s="53">
        <f t="shared" si="14"/>
        <v>6.2361804061134736E-3</v>
      </c>
      <c r="AK42" s="53">
        <f t="shared" si="14"/>
        <v>6.9430270961410119E-3</v>
      </c>
      <c r="AL42" s="53">
        <f t="shared" si="14"/>
        <v>6.3039296918734706E-3</v>
      </c>
      <c r="AM42" s="53">
        <f t="shared" si="14"/>
        <v>4.4659453157466517E-3</v>
      </c>
      <c r="AN42" s="53">
        <f t="shared" si="14"/>
        <v>2.7311782064948914E-3</v>
      </c>
      <c r="AO42" s="53">
        <f t="shared" si="14"/>
        <v>3.1879287991571537E-3</v>
      </c>
      <c r="AP42" s="53">
        <f t="shared" si="14"/>
        <v>4.1476775395839476E-3</v>
      </c>
      <c r="AQ42" s="53">
        <f t="shared" si="14"/>
        <v>2.759167332450992E-3</v>
      </c>
      <c r="AR42" s="53">
        <f t="shared" si="14"/>
        <v>3.6904774327490598E-3</v>
      </c>
      <c r="AS42" s="53">
        <f t="shared" si="14"/>
        <v>7.3085137289040196E-3</v>
      </c>
      <c r="AT42" s="53">
        <f t="shared" si="14"/>
        <v>7.066860644934116E-3</v>
      </c>
      <c r="AU42" s="53">
        <f t="shared" si="14"/>
        <v>5.3132242338654028E-3</v>
      </c>
      <c r="AV42" s="53">
        <f t="shared" si="14"/>
        <v>6.1571332044444566E-3</v>
      </c>
      <c r="AW42" s="53">
        <f t="shared" si="14"/>
        <v>5.7715494805769939E-3</v>
      </c>
      <c r="AX42" s="53">
        <f t="shared" si="14"/>
        <v>6.1538285666189576E-3</v>
      </c>
      <c r="AY42" s="53">
        <f t="shared" si="14"/>
        <v>5.9484207215408976E-3</v>
      </c>
      <c r="AZ42" s="53">
        <f t="shared" si="14"/>
        <v>5.584469236687266E-3</v>
      </c>
      <c r="BA42" s="53">
        <f t="shared" si="14"/>
        <v>5.596612769113639E-3</v>
      </c>
      <c r="BB42" s="53">
        <f t="shared" si="14"/>
        <v>5.4854192805157079E-3</v>
      </c>
      <c r="BC42" s="53">
        <f t="shared" si="14"/>
        <v>6.9316216243232795E-3</v>
      </c>
      <c r="BD42" s="53">
        <f t="shared" si="14"/>
        <v>7.0474501307985589E-3</v>
      </c>
      <c r="BE42" s="53">
        <f t="shared" si="14"/>
        <v>7.5005206286732455E-3</v>
      </c>
      <c r="BF42" s="53">
        <f t="shared" si="14"/>
        <v>6.6887959763113052E-3</v>
      </c>
      <c r="BG42" s="53">
        <f t="shared" si="14"/>
        <v>6.5578261042219281E-3</v>
      </c>
      <c r="BH42" s="53">
        <f t="shared" si="14"/>
        <v>6.4057413472287722E-3</v>
      </c>
      <c r="BI42" s="53">
        <f t="shared" si="14"/>
        <v>6.4092574317387296E-3</v>
      </c>
      <c r="BJ42" s="53">
        <f t="shared" si="14"/>
        <v>6.6029449198684517E-3</v>
      </c>
      <c r="BK42" s="53">
        <f t="shared" si="14"/>
        <v>7.5623342509768222E-3</v>
      </c>
      <c r="BL42" s="53">
        <f t="shared" si="14"/>
        <v>6.7986352746940235E-3</v>
      </c>
      <c r="BM42" s="53">
        <f t="shared" si="14"/>
        <v>5.2952634121577781E-3</v>
      </c>
      <c r="BN42" s="53">
        <f t="shared" si="14"/>
        <v>5.2984226916582642E-3</v>
      </c>
      <c r="BO42" s="53">
        <f t="shared" ref="BO42:BX42" si="15">BO30/BO19</f>
        <v>7.194631017390922E-3</v>
      </c>
      <c r="BP42" s="53">
        <f t="shared" si="15"/>
        <v>5.4921156863935883E-3</v>
      </c>
      <c r="BQ42" s="53">
        <f t="shared" si="15"/>
        <v>5.4051866295973285E-3</v>
      </c>
      <c r="BR42" s="53">
        <f t="shared" si="15"/>
        <v>5.3146605061406152E-3</v>
      </c>
      <c r="BS42" s="53">
        <f t="shared" si="15"/>
        <v>4.6787443941162564E-3</v>
      </c>
      <c r="BT42" s="53">
        <f t="shared" si="15"/>
        <v>5.4362696685225139E-3</v>
      </c>
      <c r="BU42" s="53">
        <f t="shared" si="15"/>
        <v>5.5705541154547188E-3</v>
      </c>
      <c r="BV42" s="53">
        <f t="shared" si="15"/>
        <v>5.437389528698577E-3</v>
      </c>
      <c r="BW42" s="54">
        <f t="shared" si="15"/>
        <v>1.9598125203570357E-3</v>
      </c>
      <c r="BX42" s="41">
        <f>AVERAGE(C42:BW42)</f>
        <v>5.5049372800194596E-3</v>
      </c>
      <c r="BY42" s="45"/>
      <c r="BZ42" s="46"/>
      <c r="CH42" s="55">
        <f>CH30/CH19</f>
        <v>1.3132691637492528E-3</v>
      </c>
    </row>
    <row r="43" spans="1:86" x14ac:dyDescent="0.2">
      <c r="A43" s="37"/>
      <c r="B43" s="29"/>
      <c r="C43" s="4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48"/>
      <c r="BX43" s="49"/>
      <c r="BY43" s="50"/>
      <c r="BZ43" s="51"/>
      <c r="CH43" s="17"/>
    </row>
    <row r="44" spans="1:86" x14ac:dyDescent="0.2">
      <c r="A44" s="37" t="s">
        <v>114</v>
      </c>
      <c r="B44" s="29" t="s">
        <v>115</v>
      </c>
      <c r="C44" s="56">
        <v>3.8695789999999998E-4</v>
      </c>
      <c r="D44" s="56">
        <v>4.2612359999999997E-4</v>
      </c>
      <c r="E44" s="56">
        <v>4.395011E-4</v>
      </c>
      <c r="F44" s="56">
        <v>4.3382019999999998E-4</v>
      </c>
      <c r="G44" s="56">
        <v>3.51515E-4</v>
      </c>
      <c r="H44" s="56">
        <v>3.4282870000000001E-4</v>
      </c>
      <c r="I44" s="56">
        <v>5.5972409999999998E-4</v>
      </c>
      <c r="J44" s="56">
        <v>3.5837720000000002E-4</v>
      </c>
      <c r="K44" s="56">
        <v>3.777268E-4</v>
      </c>
      <c r="L44" s="56">
        <v>3.5666270000000002E-4</v>
      </c>
      <c r="M44" s="56">
        <v>3.8717249999999998E-4</v>
      </c>
      <c r="N44" s="56">
        <v>4.1969240000000002E-4</v>
      </c>
      <c r="O44" s="56">
        <v>4.0760340000000001E-4</v>
      </c>
      <c r="P44" s="56">
        <v>3.7852650000000002E-4</v>
      </c>
      <c r="Q44" s="56">
        <v>4.1211649999999998E-4</v>
      </c>
      <c r="R44" s="56">
        <v>3.8853279999999997E-4</v>
      </c>
      <c r="S44" s="56">
        <v>3.9743619999999999E-4</v>
      </c>
      <c r="T44" s="56">
        <v>3.5718769999999999E-4</v>
      </c>
      <c r="U44" s="56">
        <v>3.4822539999999999E-4</v>
      </c>
      <c r="V44" s="56">
        <v>3.8147540000000002E-4</v>
      </c>
      <c r="W44" s="56">
        <v>3.5186860000000001E-4</v>
      </c>
      <c r="X44" s="56">
        <v>3.5476209999999998E-4</v>
      </c>
      <c r="Y44" s="56">
        <v>3.6410430000000002E-4</v>
      </c>
      <c r="Z44" s="56">
        <v>3.70613E-4</v>
      </c>
      <c r="AA44" s="56">
        <v>3.765377E-4</v>
      </c>
      <c r="AB44" s="56">
        <v>3.8042490000000001E-4</v>
      </c>
      <c r="AC44" s="56">
        <v>3.321129E-4</v>
      </c>
      <c r="AD44" s="56">
        <v>3.384072E-4</v>
      </c>
      <c r="AE44" s="56">
        <v>4.5367749999999999E-4</v>
      </c>
      <c r="AF44" s="56">
        <v>4.0965659999999998E-4</v>
      </c>
      <c r="AG44" s="56">
        <v>4.4342550000000001E-4</v>
      </c>
      <c r="AH44" s="56">
        <v>4.0140340000000002E-4</v>
      </c>
      <c r="AI44" s="56">
        <v>3.9897849999999998E-4</v>
      </c>
      <c r="AJ44" s="56">
        <v>4.0062069999999999E-4</v>
      </c>
      <c r="AK44" s="56">
        <v>3.5961270000000001E-4</v>
      </c>
      <c r="AL44" s="56">
        <v>3.6410659999999999E-4</v>
      </c>
      <c r="AM44" s="56">
        <v>3.7050709999999999E-4</v>
      </c>
      <c r="AN44" s="56">
        <v>3.5155720000000002E-4</v>
      </c>
      <c r="AO44" s="56">
        <v>3.8427140000000002E-4</v>
      </c>
      <c r="AP44" s="56">
        <v>3.5151049999999998E-4</v>
      </c>
      <c r="AQ44" s="56">
        <v>3.6048340000000001E-4</v>
      </c>
      <c r="AR44" s="56">
        <v>3.6403990000000001E-4</v>
      </c>
      <c r="AS44" s="56">
        <v>4.0935439999999999E-4</v>
      </c>
      <c r="AT44" s="56">
        <v>4.553165E-4</v>
      </c>
      <c r="AU44" s="56">
        <v>3.562692E-4</v>
      </c>
      <c r="AV44" s="56">
        <v>4.0064899999999999E-4</v>
      </c>
      <c r="AW44" s="56">
        <v>4.5414579999999998E-4</v>
      </c>
      <c r="AX44" s="56">
        <v>4.1766490000000003E-4</v>
      </c>
      <c r="AY44" s="56">
        <v>4.0761429999999998E-4</v>
      </c>
      <c r="AZ44" s="56">
        <v>3.964549E-4</v>
      </c>
      <c r="BA44" s="56">
        <v>4.181883E-4</v>
      </c>
      <c r="BB44" s="56">
        <v>3.7662200000000001E-4</v>
      </c>
      <c r="BC44" s="56">
        <v>3.7857569999999999E-4</v>
      </c>
      <c r="BD44" s="56">
        <v>3.95623E-4</v>
      </c>
      <c r="BE44" s="56">
        <v>3.832784E-4</v>
      </c>
      <c r="BF44" s="56">
        <v>3.7188999999999999E-4</v>
      </c>
      <c r="BG44" s="56">
        <v>3.724779E-4</v>
      </c>
      <c r="BH44" s="56">
        <v>3.860507E-4</v>
      </c>
      <c r="BI44" s="56">
        <v>4.173863E-4</v>
      </c>
      <c r="BJ44" s="56">
        <v>4.252778E-4</v>
      </c>
      <c r="BK44" s="56">
        <v>4.284089E-4</v>
      </c>
      <c r="BL44" s="56">
        <v>3.9864540000000002E-4</v>
      </c>
      <c r="BM44" s="56">
        <v>3.6132070000000001E-4</v>
      </c>
      <c r="BN44" s="56">
        <v>3.6178650000000002E-4</v>
      </c>
      <c r="BO44" s="56">
        <v>4.0206319999999999E-4</v>
      </c>
      <c r="BP44" s="56">
        <v>3.6125220000000002E-4</v>
      </c>
      <c r="BQ44" s="56">
        <v>3.6686569999999999E-4</v>
      </c>
      <c r="BR44" s="56">
        <v>3.718638E-4</v>
      </c>
      <c r="BS44" s="56">
        <v>3.9681580000000002E-4</v>
      </c>
      <c r="BT44" s="56">
        <v>3.9764949999999998E-4</v>
      </c>
      <c r="BU44" s="56">
        <v>3.9739879999999998E-4</v>
      </c>
      <c r="BV44" s="56">
        <v>3.797699E-4</v>
      </c>
      <c r="BW44" s="56">
        <v>3.46103E-4</v>
      </c>
      <c r="BX44" s="41">
        <f>AVERAGE(C44:BW44)</f>
        <v>3.8885849726027398E-4</v>
      </c>
      <c r="BY44" s="42">
        <f>BX44-BX45</f>
        <v>-4.0566765753424663E-5</v>
      </c>
      <c r="BZ44" s="43">
        <f>BX46*BY44</f>
        <v>-3.5286045146423695E-2</v>
      </c>
      <c r="CH44" s="57">
        <v>3.5557809999999998E-4</v>
      </c>
    </row>
    <row r="45" spans="1:86" ht="17" thickBot="1" x14ac:dyDescent="0.25">
      <c r="A45" s="37" t="s">
        <v>116</v>
      </c>
      <c r="B45" s="29" t="s">
        <v>117</v>
      </c>
      <c r="C45" s="56">
        <v>0</v>
      </c>
      <c r="D45" s="56">
        <v>4.6535929999999998E-4</v>
      </c>
      <c r="E45" s="56">
        <v>4.9551369999999996E-4</v>
      </c>
      <c r="F45" s="56">
        <v>4.7434380000000001E-4</v>
      </c>
      <c r="G45" s="56">
        <v>3.9523150000000002E-4</v>
      </c>
      <c r="H45" s="56">
        <v>3.8934020000000002E-4</v>
      </c>
      <c r="I45" s="56">
        <v>6.0496780000000004E-4</v>
      </c>
      <c r="J45" s="56">
        <v>4.0020239999999998E-4</v>
      </c>
      <c r="K45" s="56">
        <v>4.1497669999999997E-4</v>
      </c>
      <c r="L45" s="56">
        <v>3.9618429999999999E-4</v>
      </c>
      <c r="M45" s="56">
        <v>4.3331389999999998E-4</v>
      </c>
      <c r="N45" s="56">
        <v>4.5894300000000001E-4</v>
      </c>
      <c r="O45" s="56">
        <v>4.5332690000000003E-4</v>
      </c>
      <c r="P45" s="56">
        <v>4.222621E-4</v>
      </c>
      <c r="Q45" s="56">
        <v>4.5523040000000002E-4</v>
      </c>
      <c r="R45" s="56">
        <v>4.3262569999999998E-4</v>
      </c>
      <c r="S45" s="56">
        <v>4.3993599999999998E-4</v>
      </c>
      <c r="T45" s="56">
        <v>4.1499119999999999E-4</v>
      </c>
      <c r="U45" s="56">
        <v>3.9491800000000002E-4</v>
      </c>
      <c r="V45" s="56">
        <v>4.3941930000000002E-4</v>
      </c>
      <c r="W45" s="56">
        <v>3.9853920000000001E-4</v>
      </c>
      <c r="X45" s="56">
        <v>3.98188E-4</v>
      </c>
      <c r="Y45" s="56">
        <v>4.1574409999999999E-4</v>
      </c>
      <c r="Z45" s="56">
        <v>4.6755419999999998E-4</v>
      </c>
      <c r="AA45" s="56">
        <v>4.3305760000000003E-4</v>
      </c>
      <c r="AB45" s="56">
        <v>4.3154990000000002E-4</v>
      </c>
      <c r="AC45" s="56">
        <v>3.8417470000000001E-4</v>
      </c>
      <c r="AD45" s="56">
        <v>3.8388160000000002E-4</v>
      </c>
      <c r="AE45" s="56">
        <v>5.0197900000000005E-4</v>
      </c>
      <c r="AF45" s="56">
        <v>4.4043849999999998E-4</v>
      </c>
      <c r="AG45" s="56">
        <v>4.7465419999999999E-4</v>
      </c>
      <c r="AH45" s="56">
        <v>5.1034599999999996E-4</v>
      </c>
      <c r="AI45" s="56">
        <v>4.4502510000000002E-4</v>
      </c>
      <c r="AJ45" s="56">
        <v>4.4286459999999999E-4</v>
      </c>
      <c r="AK45" s="56">
        <v>4.104911E-4</v>
      </c>
      <c r="AL45" s="56">
        <v>3.964684E-4</v>
      </c>
      <c r="AM45" s="56">
        <v>4.1193959999999999E-4</v>
      </c>
      <c r="AN45" s="56">
        <v>3.8943190000000001E-4</v>
      </c>
      <c r="AO45" s="56">
        <v>4.2421400000000001E-4</v>
      </c>
      <c r="AP45" s="56">
        <v>3.9137530000000001E-4</v>
      </c>
      <c r="AQ45" s="56">
        <v>4.0279790000000002E-4</v>
      </c>
      <c r="AR45" s="56">
        <v>4.116918E-4</v>
      </c>
      <c r="AS45" s="56">
        <v>4.4011590000000002E-4</v>
      </c>
      <c r="AT45" s="56">
        <v>4.8565549999999999E-4</v>
      </c>
      <c r="AU45" s="56">
        <v>4.0894739999999997E-4</v>
      </c>
      <c r="AV45" s="56">
        <v>4.487456E-4</v>
      </c>
      <c r="AW45" s="56">
        <v>5.1650670000000004E-4</v>
      </c>
      <c r="AX45" s="56">
        <v>4.6728060000000003E-4</v>
      </c>
      <c r="AY45" s="56">
        <v>4.5346889999999998E-4</v>
      </c>
      <c r="AZ45" s="56">
        <v>4.4832470000000002E-4</v>
      </c>
      <c r="BA45" s="56">
        <v>4.5755150000000001E-4</v>
      </c>
      <c r="BB45" s="56">
        <v>4.2388920000000001E-4</v>
      </c>
      <c r="BC45" s="56">
        <v>4.2552470000000001E-4</v>
      </c>
      <c r="BD45" s="56">
        <v>4.3899930000000002E-4</v>
      </c>
      <c r="BE45" s="56">
        <v>4.3242509999999999E-4</v>
      </c>
      <c r="BF45" s="56">
        <v>4.0630270000000001E-4</v>
      </c>
      <c r="BG45" s="56">
        <v>4.1378330000000003E-4</v>
      </c>
      <c r="BH45" s="56">
        <v>4.2758809999999999E-4</v>
      </c>
      <c r="BI45" s="56">
        <v>4.56794E-4</v>
      </c>
      <c r="BJ45" s="56">
        <v>4.7385489999999999E-4</v>
      </c>
      <c r="BK45" s="56">
        <v>4.7109559999999998E-4</v>
      </c>
      <c r="BL45" s="56">
        <v>4.4203409999999998E-4</v>
      </c>
      <c r="BM45" s="56">
        <v>4.0920939999999998E-4</v>
      </c>
      <c r="BN45" s="56">
        <v>4.0709079999999998E-4</v>
      </c>
      <c r="BO45" s="56">
        <v>4.4232100000000002E-4</v>
      </c>
      <c r="BP45" s="56">
        <v>4.1039720000000002E-4</v>
      </c>
      <c r="BQ45" s="56">
        <v>4.146555E-4</v>
      </c>
      <c r="BR45" s="56">
        <v>4.1107999999999997E-4</v>
      </c>
      <c r="BS45" s="56">
        <v>4.4101729999999998E-4</v>
      </c>
      <c r="BT45" s="56">
        <v>4.6921529999999998E-4</v>
      </c>
      <c r="BU45" s="56">
        <v>4.3663110000000002E-4</v>
      </c>
      <c r="BV45" s="56">
        <v>4.2749729999999998E-4</v>
      </c>
      <c r="BW45" s="56">
        <v>3.9254859999999998E-4</v>
      </c>
      <c r="BX45" s="41">
        <f>AVERAGE(C45:BW45)</f>
        <v>4.2942526301369865E-4</v>
      </c>
      <c r="BY45" s="45"/>
      <c r="BZ45" s="46"/>
      <c r="CH45" s="57">
        <v>4.0382999999999999E-4</v>
      </c>
    </row>
    <row r="46" spans="1:86" ht="17" thickBot="1" x14ac:dyDescent="0.25">
      <c r="A46" s="58" t="s">
        <v>118</v>
      </c>
      <c r="B46" s="59"/>
      <c r="C46" s="60">
        <f>AVERAGE(C3,C19)</f>
        <v>1245.9694989999998</v>
      </c>
      <c r="D46" s="61">
        <f t="shared" ref="D46:BO46" si="16">AVERAGE(D3,D19)</f>
        <v>683.87887999999953</v>
      </c>
      <c r="E46" s="61">
        <f t="shared" si="16"/>
        <v>756.29605499999957</v>
      </c>
      <c r="F46" s="61">
        <f t="shared" si="16"/>
        <v>751.84403299999997</v>
      </c>
      <c r="G46" s="61">
        <f t="shared" si="16"/>
        <v>771.29262399999993</v>
      </c>
      <c r="H46" s="61">
        <f t="shared" si="16"/>
        <v>661.82066699999996</v>
      </c>
      <c r="I46" s="61">
        <f t="shared" si="16"/>
        <v>871.07394499999896</v>
      </c>
      <c r="J46" s="61">
        <f t="shared" si="16"/>
        <v>1084.6529540000001</v>
      </c>
      <c r="K46" s="61">
        <f t="shared" si="16"/>
        <v>981.79089599999907</v>
      </c>
      <c r="L46" s="61">
        <f t="shared" si="16"/>
        <v>1022.513287999995</v>
      </c>
      <c r="M46" s="61">
        <f t="shared" si="16"/>
        <v>974.23807899999997</v>
      </c>
      <c r="N46" s="61">
        <f t="shared" si="16"/>
        <v>1321.0026899999998</v>
      </c>
      <c r="O46" s="61">
        <f t="shared" si="16"/>
        <v>969.89816499999949</v>
      </c>
      <c r="P46" s="61">
        <f t="shared" si="16"/>
        <v>877.86110599999949</v>
      </c>
      <c r="Q46" s="61">
        <f t="shared" si="16"/>
        <v>920.73217899999952</v>
      </c>
      <c r="R46" s="61">
        <f t="shared" si="16"/>
        <v>756.03669599999944</v>
      </c>
      <c r="S46" s="61">
        <f t="shared" si="16"/>
        <v>799.04983399999992</v>
      </c>
      <c r="T46" s="61">
        <f t="shared" si="16"/>
        <v>668.82097099999896</v>
      </c>
      <c r="U46" s="61">
        <f t="shared" si="16"/>
        <v>737.59774300000004</v>
      </c>
      <c r="V46" s="61">
        <f t="shared" si="16"/>
        <v>733.68652499999951</v>
      </c>
      <c r="W46" s="61">
        <f t="shared" si="16"/>
        <v>769.77710199999956</v>
      </c>
      <c r="X46" s="61">
        <f t="shared" si="16"/>
        <v>771.27767999999992</v>
      </c>
      <c r="Y46" s="61">
        <f t="shared" si="16"/>
        <v>1050.7868759999951</v>
      </c>
      <c r="Z46" s="61">
        <f t="shared" si="16"/>
        <v>829.02343999999994</v>
      </c>
      <c r="AA46" s="61">
        <f t="shared" si="16"/>
        <v>898.94901200000004</v>
      </c>
      <c r="AB46" s="61">
        <f t="shared" si="16"/>
        <v>877.20137899999997</v>
      </c>
      <c r="AC46" s="61">
        <f t="shared" si="16"/>
        <v>695.73006699999951</v>
      </c>
      <c r="AD46" s="61">
        <f t="shared" si="16"/>
        <v>886.66656799999998</v>
      </c>
      <c r="AE46" s="61">
        <f t="shared" si="16"/>
        <v>1184.408463</v>
      </c>
      <c r="AF46" s="61">
        <f t="shared" si="16"/>
        <v>668.82515799999896</v>
      </c>
      <c r="AG46" s="61">
        <f t="shared" si="16"/>
        <v>769.01306199999999</v>
      </c>
      <c r="AH46" s="61">
        <f t="shared" si="16"/>
        <v>834.25271099999895</v>
      </c>
      <c r="AI46" s="61">
        <f t="shared" si="16"/>
        <v>849.31817999999998</v>
      </c>
      <c r="AJ46" s="61">
        <f t="shared" si="16"/>
        <v>799.44361799999956</v>
      </c>
      <c r="AK46" s="61">
        <f t="shared" si="16"/>
        <v>807.49204099999997</v>
      </c>
      <c r="AL46" s="61">
        <f t="shared" si="16"/>
        <v>1034.58462099999</v>
      </c>
      <c r="AM46" s="61">
        <f t="shared" si="16"/>
        <v>819.20647499999995</v>
      </c>
      <c r="AN46" s="61">
        <f t="shared" si="16"/>
        <v>745.99651700000004</v>
      </c>
      <c r="AO46" s="61">
        <f t="shared" si="16"/>
        <v>1173.7221709999999</v>
      </c>
      <c r="AP46" s="61">
        <f t="shared" si="16"/>
        <v>737.12249399999996</v>
      </c>
      <c r="AQ46" s="61">
        <f t="shared" si="16"/>
        <v>926.89353599999902</v>
      </c>
      <c r="AR46" s="61">
        <f t="shared" si="16"/>
        <v>937.02402899999902</v>
      </c>
      <c r="AS46" s="61">
        <f t="shared" si="16"/>
        <v>738.04389399999945</v>
      </c>
      <c r="AT46" s="61">
        <f t="shared" si="16"/>
        <v>791.55528299999992</v>
      </c>
      <c r="AU46" s="61">
        <f t="shared" si="16"/>
        <v>870.59602700000005</v>
      </c>
      <c r="AV46" s="61">
        <f t="shared" si="16"/>
        <v>958.66538299999957</v>
      </c>
      <c r="AW46" s="61">
        <f t="shared" si="16"/>
        <v>822.82762400000001</v>
      </c>
      <c r="AX46" s="61">
        <f t="shared" si="16"/>
        <v>888.43378299999949</v>
      </c>
      <c r="AY46" s="61">
        <f t="shared" si="16"/>
        <v>962.44774299999949</v>
      </c>
      <c r="AZ46" s="61">
        <f t="shared" si="16"/>
        <v>847.461411</v>
      </c>
      <c r="BA46" s="61">
        <f t="shared" si="16"/>
        <v>950.44763399999943</v>
      </c>
      <c r="BB46" s="61">
        <f t="shared" si="16"/>
        <v>697.87354999999957</v>
      </c>
      <c r="BC46" s="61">
        <f t="shared" si="16"/>
        <v>699.91520100000002</v>
      </c>
      <c r="BD46" s="61">
        <f t="shared" si="16"/>
        <v>766.96762899999908</v>
      </c>
      <c r="BE46" s="61">
        <f t="shared" si="16"/>
        <v>735.369418</v>
      </c>
      <c r="BF46" s="61">
        <f t="shared" si="16"/>
        <v>786.37717199999997</v>
      </c>
      <c r="BG46" s="61">
        <f t="shared" si="16"/>
        <v>746.68995399999949</v>
      </c>
      <c r="BH46" s="61">
        <f t="shared" si="16"/>
        <v>764.39777299999946</v>
      </c>
      <c r="BI46" s="61">
        <f t="shared" si="16"/>
        <v>883.35654499999896</v>
      </c>
      <c r="BJ46" s="61">
        <f t="shared" si="16"/>
        <v>855.3203739999999</v>
      </c>
      <c r="BK46" s="61">
        <f t="shared" si="16"/>
        <v>857.30226999999945</v>
      </c>
      <c r="BL46" s="61">
        <f t="shared" si="16"/>
        <v>939.55358799999999</v>
      </c>
      <c r="BM46" s="61">
        <f t="shared" si="16"/>
        <v>979.15761499999894</v>
      </c>
      <c r="BN46" s="61">
        <f t="shared" si="16"/>
        <v>921.90962299999956</v>
      </c>
      <c r="BO46" s="61">
        <f t="shared" si="16"/>
        <v>970.520927999999</v>
      </c>
      <c r="BP46" s="61">
        <f t="shared" ref="BP46:BY46" si="17">AVERAGE(BP3,BP19)</f>
        <v>923.85291399999949</v>
      </c>
      <c r="BQ46" s="61">
        <f t="shared" si="17"/>
        <v>869.66714399999955</v>
      </c>
      <c r="BR46" s="61">
        <f t="shared" si="17"/>
        <v>906.24691899999948</v>
      </c>
      <c r="BS46" s="61">
        <f t="shared" si="17"/>
        <v>770.08904299999949</v>
      </c>
      <c r="BT46" s="61">
        <f t="shared" si="17"/>
        <v>1054.5456140000001</v>
      </c>
      <c r="BU46" s="61">
        <f t="shared" si="17"/>
        <v>963.18556899999999</v>
      </c>
      <c r="BV46" s="61">
        <f t="shared" si="17"/>
        <v>978.60490400000003</v>
      </c>
      <c r="BW46" s="62">
        <f t="shared" si="17"/>
        <v>939.17503799999997</v>
      </c>
      <c r="BX46" s="63">
        <f>AVERAGE(C46:BW46)</f>
        <v>869.82643282191736</v>
      </c>
      <c r="BY46" s="64"/>
      <c r="BZ46" s="65"/>
      <c r="CH46" s="66">
        <f>AVERAGE(CH3,CH19)</f>
        <v>1195.8473549999999</v>
      </c>
    </row>
    <row r="47" spans="1:86" ht="20" thickBot="1" x14ac:dyDescent="0.3">
      <c r="A47" s="1" t="s">
        <v>98</v>
      </c>
      <c r="B47" s="2"/>
      <c r="BX47" s="67"/>
    </row>
    <row r="48" spans="1:86" ht="18" customHeight="1" x14ac:dyDescent="0.2">
      <c r="A48" s="68" t="s">
        <v>99</v>
      </c>
      <c r="B48" s="69"/>
      <c r="BX48" s="67"/>
      <c r="CH48" s="5"/>
    </row>
    <row r="49" spans="1:86" x14ac:dyDescent="0.2">
      <c r="A49" s="37" t="s">
        <v>119</v>
      </c>
      <c r="B49" s="70" t="s">
        <v>120</v>
      </c>
      <c r="C49">
        <f>C5-C21</f>
        <v>13.783848000000035</v>
      </c>
      <c r="D49">
        <f t="shared" ref="D49:BO49" si="18">D5-D21</f>
        <v>8.3939260000009881</v>
      </c>
      <c r="E49">
        <f t="shared" si="18"/>
        <v>11.805730000000949</v>
      </c>
      <c r="F49">
        <f t="shared" si="18"/>
        <v>10.216781999999967</v>
      </c>
      <c r="G49">
        <f t="shared" si="18"/>
        <v>9.0335479999999961</v>
      </c>
      <c r="H49">
        <f t="shared" si="18"/>
        <v>7.8113460000009809</v>
      </c>
      <c r="I49">
        <f t="shared" si="18"/>
        <v>11.38114399999904</v>
      </c>
      <c r="J49">
        <f t="shared" si="18"/>
        <v>12.973313999999846</v>
      </c>
      <c r="K49">
        <f t="shared" si="18"/>
        <v>12.049122000000011</v>
      </c>
      <c r="L49">
        <f t="shared" si="18"/>
        <v>12.632247999991023</v>
      </c>
      <c r="M49">
        <f t="shared" si="18"/>
        <v>11.401029999999992</v>
      </c>
      <c r="N49">
        <f t="shared" si="18"/>
        <v>14.116273999999976</v>
      </c>
      <c r="O49">
        <f t="shared" si="18"/>
        <v>11.401477999999997</v>
      </c>
      <c r="P49">
        <f t="shared" si="18"/>
        <v>9.2917959999999766</v>
      </c>
      <c r="Q49">
        <f t="shared" si="18"/>
        <v>11.719801999999049</v>
      </c>
      <c r="R49">
        <f t="shared" si="18"/>
        <v>9.8904839999989917</v>
      </c>
      <c r="S49">
        <f t="shared" si="18"/>
        <v>9.2025780000000168</v>
      </c>
      <c r="T49">
        <f t="shared" si="18"/>
        <v>7.8107319999990068</v>
      </c>
      <c r="U49">
        <f t="shared" si="18"/>
        <v>9.6711000000009335</v>
      </c>
      <c r="V49">
        <f t="shared" si="18"/>
        <v>8.2782200000009425</v>
      </c>
      <c r="W49">
        <f t="shared" si="18"/>
        <v>11.035421999999016</v>
      </c>
      <c r="X49">
        <f t="shared" si="18"/>
        <v>8.4765499999999747</v>
      </c>
      <c r="Y49">
        <f t="shared" si="18"/>
        <v>15.265225999999984</v>
      </c>
      <c r="Z49">
        <f t="shared" si="18"/>
        <v>8.8066340000000309</v>
      </c>
      <c r="AA49">
        <f t="shared" si="18"/>
        <v>11.313059999999041</v>
      </c>
      <c r="AB49">
        <f t="shared" si="18"/>
        <v>8.7571239999999761</v>
      </c>
      <c r="AC49">
        <f t="shared" si="18"/>
        <v>7.2771460000000161</v>
      </c>
      <c r="AD49">
        <f t="shared" si="18"/>
        <v>10.335491999999022</v>
      </c>
      <c r="AE49">
        <f t="shared" si="18"/>
        <v>13.519417999990083</v>
      </c>
      <c r="AF49">
        <f t="shared" si="18"/>
        <v>7.60784799999999</v>
      </c>
      <c r="AG49">
        <f t="shared" si="18"/>
        <v>9.7221900000009782</v>
      </c>
      <c r="AH49">
        <f t="shared" si="18"/>
        <v>9.6358820000009473</v>
      </c>
      <c r="AI49">
        <f t="shared" si="18"/>
        <v>11.32632799999999</v>
      </c>
      <c r="AJ49">
        <f t="shared" si="18"/>
        <v>8.6773759999999811</v>
      </c>
      <c r="AK49">
        <f t="shared" si="18"/>
        <v>9.2611060000000407</v>
      </c>
      <c r="AL49">
        <f t="shared" si="18"/>
        <v>10.769204000000968</v>
      </c>
      <c r="AM49">
        <f t="shared" si="18"/>
        <v>9.2171280000000024</v>
      </c>
      <c r="AN49">
        <f t="shared" si="18"/>
        <v>9.2763340000000198</v>
      </c>
      <c r="AO49">
        <f t="shared" si="18"/>
        <v>12.862785999990137</v>
      </c>
      <c r="AP49">
        <f t="shared" si="18"/>
        <v>8.2912680000000591</v>
      </c>
      <c r="AQ49">
        <f t="shared" si="18"/>
        <v>12.088303999999994</v>
      </c>
      <c r="AR49">
        <f t="shared" si="18"/>
        <v>10.697123999999008</v>
      </c>
      <c r="AS49">
        <f t="shared" si="18"/>
        <v>8.5614379999990433</v>
      </c>
      <c r="AT49">
        <f t="shared" si="18"/>
        <v>9.1801580000000058</v>
      </c>
      <c r="AU49">
        <f t="shared" si="18"/>
        <v>10.498264000000972</v>
      </c>
      <c r="AV49">
        <f t="shared" si="18"/>
        <v>11.522980000000985</v>
      </c>
      <c r="AW49">
        <f t="shared" si="18"/>
        <v>9.2168619999999919</v>
      </c>
      <c r="AX49">
        <f t="shared" si="18"/>
        <v>8.5531119999999419</v>
      </c>
      <c r="AY49">
        <f t="shared" si="18"/>
        <v>11.473637999999028</v>
      </c>
      <c r="AZ49">
        <f t="shared" si="18"/>
        <v>9.4297339999990299</v>
      </c>
      <c r="BA49">
        <f t="shared" si="18"/>
        <v>10.863040000000979</v>
      </c>
      <c r="BB49">
        <f t="shared" si="18"/>
        <v>7.8047800000000507</v>
      </c>
      <c r="BC49">
        <f t="shared" si="18"/>
        <v>8.3324079999999867</v>
      </c>
      <c r="BD49">
        <f t="shared" si="18"/>
        <v>8.2239299999990862</v>
      </c>
      <c r="BE49">
        <f t="shared" si="18"/>
        <v>8.2434680000000071</v>
      </c>
      <c r="BF49">
        <f t="shared" si="18"/>
        <v>7.7236680000009983</v>
      </c>
      <c r="BG49">
        <f t="shared" si="18"/>
        <v>8.2612619999990784</v>
      </c>
      <c r="BH49">
        <f t="shared" si="18"/>
        <v>9.3226240000000189</v>
      </c>
      <c r="BI49">
        <f t="shared" si="18"/>
        <v>11.435064000000011</v>
      </c>
      <c r="BJ49">
        <f t="shared" si="18"/>
        <v>9.3505559999999832</v>
      </c>
      <c r="BK49">
        <f t="shared" si="18"/>
        <v>7.8674519999999575</v>
      </c>
      <c r="BL49">
        <f t="shared" si="18"/>
        <v>13.144852000000014</v>
      </c>
      <c r="BM49">
        <f t="shared" si="18"/>
        <v>11.719801999999049</v>
      </c>
      <c r="BN49">
        <f t="shared" si="18"/>
        <v>11.220473999999058</v>
      </c>
      <c r="BO49">
        <f t="shared" si="18"/>
        <v>11.911400000000981</v>
      </c>
      <c r="BP49">
        <f t="shared" ref="BP49:BW49" si="19">BP5-BP21</f>
        <v>10.071777999999995</v>
      </c>
      <c r="BQ49">
        <f t="shared" si="19"/>
        <v>10.208899999999971</v>
      </c>
      <c r="BR49">
        <f t="shared" si="19"/>
        <v>9.7281439999990198</v>
      </c>
      <c r="BS49">
        <f t="shared" si="19"/>
        <v>7.545766000000981</v>
      </c>
      <c r="BT49">
        <f t="shared" si="19"/>
        <v>14.841492000010021</v>
      </c>
      <c r="BU49">
        <f t="shared" si="19"/>
        <v>11.428164000000947</v>
      </c>
      <c r="BV49">
        <f t="shared" si="19"/>
        <v>12.189994000000979</v>
      </c>
      <c r="BW49">
        <f t="shared" si="19"/>
        <v>10.026129999999966</v>
      </c>
      <c r="BX49" s="67">
        <f>AVERAGE(C49:BW49)</f>
        <v>10.232668301369605</v>
      </c>
      <c r="CH49" s="11" t="s">
        <v>76</v>
      </c>
    </row>
    <row r="50" spans="1:86" x14ac:dyDescent="0.2">
      <c r="A50" s="29" t="s">
        <v>121</v>
      </c>
      <c r="B50" s="29" t="s">
        <v>121</v>
      </c>
      <c r="C50">
        <f>C9-C25</f>
        <v>10.692140000000094</v>
      </c>
      <c r="D50">
        <f t="shared" ref="D50:BO50" si="20">D9-D25</f>
        <v>8.1223079999999968</v>
      </c>
      <c r="E50">
        <f t="shared" si="20"/>
        <v>9.6144940000000005</v>
      </c>
      <c r="F50">
        <f t="shared" si="20"/>
        <v>8.9335390000000956</v>
      </c>
      <c r="G50">
        <f t="shared" si="20"/>
        <v>7.3402819999999025</v>
      </c>
      <c r="H50">
        <f t="shared" si="20"/>
        <v>6.3194679999999011</v>
      </c>
      <c r="I50">
        <f t="shared" si="20"/>
        <v>10.635435999999999</v>
      </c>
      <c r="J50">
        <f t="shared" si="20"/>
        <v>8.471896000000001</v>
      </c>
      <c r="K50">
        <f t="shared" si="20"/>
        <v>8.0413449999999997</v>
      </c>
      <c r="L50">
        <f t="shared" si="20"/>
        <v>7.9820569999999975</v>
      </c>
      <c r="M50">
        <f t="shared" si="20"/>
        <v>8.9340949999998998</v>
      </c>
      <c r="N50">
        <f t="shared" si="20"/>
        <v>10.537011999999905</v>
      </c>
      <c r="O50">
        <f t="shared" si="20"/>
        <v>8.9498660000000001</v>
      </c>
      <c r="P50">
        <f t="shared" si="20"/>
        <v>7.0549730000001034</v>
      </c>
      <c r="Q50">
        <f t="shared" si="20"/>
        <v>11.205714</v>
      </c>
      <c r="R50">
        <f t="shared" si="20"/>
        <v>7.0867769999999979</v>
      </c>
      <c r="S50">
        <f t="shared" si="20"/>
        <v>7.7431089999999969</v>
      </c>
      <c r="T50">
        <f t="shared" si="20"/>
        <v>6.669283000000096</v>
      </c>
      <c r="U50">
        <f t="shared" si="20"/>
        <v>7.3095380000000958</v>
      </c>
      <c r="V50">
        <f t="shared" si="20"/>
        <v>6.6910920000001006</v>
      </c>
      <c r="W50">
        <f t="shared" si="20"/>
        <v>8.2400470000001036</v>
      </c>
      <c r="X50">
        <f t="shared" si="20"/>
        <v>6.3908460000000957</v>
      </c>
      <c r="Y50">
        <f t="shared" si="20"/>
        <v>11.214656000000097</v>
      </c>
      <c r="Z50">
        <f t="shared" si="20"/>
        <v>7.6846710000000016</v>
      </c>
      <c r="AA50">
        <f t="shared" si="20"/>
        <v>9.3623280000000975</v>
      </c>
      <c r="AB50">
        <f t="shared" si="20"/>
        <v>6.7860459999999989</v>
      </c>
      <c r="AC50">
        <f t="shared" si="20"/>
        <v>4.6209539999999016</v>
      </c>
      <c r="AD50">
        <f t="shared" si="20"/>
        <v>7.1142330000000982</v>
      </c>
      <c r="AE50">
        <f t="shared" si="20"/>
        <v>10.012614999999904</v>
      </c>
      <c r="AF50">
        <f t="shared" si="20"/>
        <v>6.251222000000098</v>
      </c>
      <c r="AG50">
        <f t="shared" si="20"/>
        <v>7.2142539999999045</v>
      </c>
      <c r="AH50">
        <f t="shared" si="20"/>
        <v>7.3785609999999053</v>
      </c>
      <c r="AI50">
        <f t="shared" si="20"/>
        <v>7.9181920000000972</v>
      </c>
      <c r="AJ50">
        <f t="shared" si="20"/>
        <v>7.1472090000000961</v>
      </c>
      <c r="AK50">
        <f t="shared" si="20"/>
        <v>6.8744960000000006</v>
      </c>
      <c r="AL50">
        <f t="shared" si="20"/>
        <v>8.2887560000000065</v>
      </c>
      <c r="AM50">
        <f t="shared" si="20"/>
        <v>6.6966339999998965</v>
      </c>
      <c r="AN50">
        <f t="shared" si="20"/>
        <v>7.2226420000000005</v>
      </c>
      <c r="AO50">
        <f t="shared" si="20"/>
        <v>9.2536709999999971</v>
      </c>
      <c r="AP50">
        <f t="shared" si="20"/>
        <v>6.5342519999999986</v>
      </c>
      <c r="AQ50">
        <f t="shared" si="20"/>
        <v>9.1079110000000014</v>
      </c>
      <c r="AR50">
        <f t="shared" si="20"/>
        <v>7.983589000000002</v>
      </c>
      <c r="AS50">
        <f t="shared" si="20"/>
        <v>6.7324589999999986</v>
      </c>
      <c r="AT50">
        <f t="shared" si="20"/>
        <v>7.6084379999999996</v>
      </c>
      <c r="AU50">
        <f t="shared" si="20"/>
        <v>8.2998919999999998</v>
      </c>
      <c r="AV50">
        <f t="shared" si="20"/>
        <v>8.810654999999997</v>
      </c>
      <c r="AW50">
        <f t="shared" si="20"/>
        <v>6.2707799999999985</v>
      </c>
      <c r="AX50">
        <f t="shared" si="20"/>
        <v>7.4749780000000001</v>
      </c>
      <c r="AY50">
        <f t="shared" si="20"/>
        <v>8.1232880000000023</v>
      </c>
      <c r="AZ50">
        <f t="shared" si="20"/>
        <v>8.4469330000000014</v>
      </c>
      <c r="BA50">
        <f t="shared" si="20"/>
        <v>7.7395619999999994</v>
      </c>
      <c r="BB50">
        <f t="shared" si="20"/>
        <v>6.3306919999999991</v>
      </c>
      <c r="BC50">
        <f t="shared" si="20"/>
        <v>7.0522300000000975</v>
      </c>
      <c r="BD50">
        <f t="shared" si="20"/>
        <v>7.0541179999999031</v>
      </c>
      <c r="BE50">
        <f t="shared" si="20"/>
        <v>5.7197390000000006</v>
      </c>
      <c r="BF50">
        <f t="shared" si="20"/>
        <v>5.9399680000000004</v>
      </c>
      <c r="BG50">
        <f t="shared" si="20"/>
        <v>6.5379240000000962</v>
      </c>
      <c r="BH50">
        <f t="shared" si="20"/>
        <v>6.5450679999998975</v>
      </c>
      <c r="BI50">
        <f t="shared" si="20"/>
        <v>9.7399550000000019</v>
      </c>
      <c r="BJ50">
        <f t="shared" si="20"/>
        <v>7.6458030000000008</v>
      </c>
      <c r="BK50">
        <f t="shared" si="20"/>
        <v>7.4348080000000962</v>
      </c>
      <c r="BL50">
        <f t="shared" si="20"/>
        <v>9.1375339999998957</v>
      </c>
      <c r="BM50">
        <f t="shared" si="20"/>
        <v>9.2613510000000971</v>
      </c>
      <c r="BN50">
        <f t="shared" si="20"/>
        <v>8.9860400000001022</v>
      </c>
      <c r="BO50">
        <f t="shared" si="20"/>
        <v>9.0548179999999974</v>
      </c>
      <c r="BP50">
        <f t="shared" ref="BP50:BW50" si="21">BP9-BP25</f>
        <v>8.7665980000000943</v>
      </c>
      <c r="BQ50">
        <f t="shared" si="21"/>
        <v>9.4567109999999062</v>
      </c>
      <c r="BR50">
        <f t="shared" si="21"/>
        <v>8.2447289999999995</v>
      </c>
      <c r="BS50">
        <f t="shared" si="21"/>
        <v>4.8031749999999036</v>
      </c>
      <c r="BT50">
        <f t="shared" si="21"/>
        <v>10.187158000000103</v>
      </c>
      <c r="BU50">
        <f t="shared" si="21"/>
        <v>9.5248419999999996</v>
      </c>
      <c r="BV50">
        <f t="shared" si="21"/>
        <v>8.6460539999999995</v>
      </c>
      <c r="BW50">
        <f t="shared" si="21"/>
        <v>8.0526949999999999</v>
      </c>
      <c r="BX50" s="67">
        <f>AVERAGE(C50:BW50)</f>
        <v>7.9624822465753518</v>
      </c>
      <c r="BY50" s="71"/>
      <c r="CH50" s="72">
        <f>CH52-CH51</f>
        <v>1128.8297439999999</v>
      </c>
    </row>
    <row r="51" spans="1:86" ht="15" customHeight="1" x14ac:dyDescent="0.2">
      <c r="A51" s="29" t="s">
        <v>122</v>
      </c>
      <c r="B51" s="29" t="s">
        <v>122</v>
      </c>
      <c r="C51">
        <f>C14-C30</f>
        <v>0.11180899999999916</v>
      </c>
      <c r="D51">
        <f t="shared" ref="D51:BO51" si="22">D14-D30</f>
        <v>5.3970000000000073E-2</v>
      </c>
      <c r="E51">
        <f t="shared" si="22"/>
        <v>5.8295999999999903E-2</v>
      </c>
      <c r="F51">
        <f t="shared" si="22"/>
        <v>2.5761000000000145E-2</v>
      </c>
      <c r="G51">
        <f t="shared" si="22"/>
        <v>6.5509999999999735E-3</v>
      </c>
      <c r="H51">
        <f t="shared" si="22"/>
        <v>2.1260999999999974E-2</v>
      </c>
      <c r="I51">
        <f t="shared" si="22"/>
        <v>8.0064999999989617E-2</v>
      </c>
      <c r="J51">
        <f t="shared" si="22"/>
        <v>1.8094000000000054E-2</v>
      </c>
      <c r="K51">
        <f t="shared" si="22"/>
        <v>4.2272000000009857E-2</v>
      </c>
      <c r="L51">
        <f t="shared" si="22"/>
        <v>6.8268999999999913E-2</v>
      </c>
      <c r="M51">
        <f t="shared" si="22"/>
        <v>5.5340000000000167E-2</v>
      </c>
      <c r="N51">
        <f t="shared" si="22"/>
        <v>0.12524999999999942</v>
      </c>
      <c r="O51">
        <f t="shared" si="22"/>
        <v>2.2400000000102338E-3</v>
      </c>
      <c r="P51">
        <f t="shared" si="22"/>
        <v>-5.0596999999990011E-2</v>
      </c>
      <c r="Q51">
        <f t="shared" si="22"/>
        <v>0.17590799999998996</v>
      </c>
      <c r="R51">
        <f t="shared" si="22"/>
        <v>2.1800000000000708E-3</v>
      </c>
      <c r="S51">
        <f t="shared" si="22"/>
        <v>0.10292399999999002</v>
      </c>
      <c r="T51">
        <f t="shared" si="22"/>
        <v>1.942200000000982E-2</v>
      </c>
      <c r="U51">
        <f t="shared" si="22"/>
        <v>1.4774000000000065E-2</v>
      </c>
      <c r="V51">
        <f t="shared" si="22"/>
        <v>-7.9430000000000334E-3</v>
      </c>
      <c r="W51">
        <f t="shared" si="22"/>
        <v>2.9764000000000124E-2</v>
      </c>
      <c r="X51">
        <f t="shared" si="22"/>
        <v>5.9853000000010148E-2</v>
      </c>
      <c r="Y51">
        <f t="shared" si="22"/>
        <v>3.9358000000000004E-2</v>
      </c>
      <c r="Z51">
        <f t="shared" si="22"/>
        <v>6.6353000000010098E-2</v>
      </c>
      <c r="AA51">
        <f t="shared" si="22"/>
        <v>6.1206000000000316E-2</v>
      </c>
      <c r="AB51">
        <f t="shared" si="22"/>
        <v>8.769799999998984E-2</v>
      </c>
      <c r="AC51">
        <f t="shared" si="22"/>
        <v>0.1179380000000001</v>
      </c>
      <c r="AD51">
        <f t="shared" si="22"/>
        <v>0.14640600000000026</v>
      </c>
      <c r="AE51">
        <f t="shared" si="22"/>
        <v>8.6219999999999963E-2</v>
      </c>
      <c r="AF51">
        <f t="shared" si="22"/>
        <v>4.8343000000000025E-2</v>
      </c>
      <c r="AG51">
        <f t="shared" si="22"/>
        <v>8.3828999999999709E-2</v>
      </c>
      <c r="AH51">
        <f t="shared" si="22"/>
        <v>5.4390999999999856E-2</v>
      </c>
      <c r="AI51">
        <f t="shared" si="22"/>
        <v>5.2388999999999797E-2</v>
      </c>
      <c r="AJ51">
        <f t="shared" si="22"/>
        <v>6.0496000000010319E-2</v>
      </c>
      <c r="AK51">
        <f t="shared" si="22"/>
        <v>7.7424000000000603E-2</v>
      </c>
      <c r="AL51">
        <f t="shared" si="22"/>
        <v>8.1751999999999825E-2</v>
      </c>
      <c r="AM51">
        <f t="shared" si="22"/>
        <v>6.7480000000009976E-2</v>
      </c>
      <c r="AN51">
        <f t="shared" si="22"/>
        <v>-1.7781999999999965E-2</v>
      </c>
      <c r="AO51">
        <f t="shared" si="22"/>
        <v>-2.010299999998999E-2</v>
      </c>
      <c r="AP51">
        <f t="shared" si="22"/>
        <v>1.1981999999989945E-2</v>
      </c>
      <c r="AQ51">
        <f t="shared" si="22"/>
        <v>1.2891000000000208E-2</v>
      </c>
      <c r="AR51">
        <f t="shared" si="22"/>
        <v>-6.6373000000000015E-2</v>
      </c>
      <c r="AS51">
        <f t="shared" si="22"/>
        <v>5.0704999999990008E-2</v>
      </c>
      <c r="AT51">
        <f t="shared" si="22"/>
        <v>5.0269999999989601E-2</v>
      </c>
      <c r="AU51">
        <f t="shared" si="22"/>
        <v>1.1425000000000018E-2</v>
      </c>
      <c r="AV51">
        <f t="shared" si="22"/>
        <v>0.10778200000000027</v>
      </c>
      <c r="AW51">
        <f t="shared" si="22"/>
        <v>4.3902000000000108E-2</v>
      </c>
      <c r="AX51">
        <f t="shared" si="22"/>
        <v>0.1768730000000005</v>
      </c>
      <c r="AY51">
        <f t="shared" si="22"/>
        <v>4.6896999999990641E-2</v>
      </c>
      <c r="AZ51">
        <f t="shared" si="22"/>
        <v>5.3115000000000023E-2</v>
      </c>
      <c r="BA51">
        <f t="shared" si="22"/>
        <v>7.719800000000987E-2</v>
      </c>
      <c r="BB51">
        <f t="shared" si="22"/>
        <v>5.2175999999990008E-2</v>
      </c>
      <c r="BC51">
        <f t="shared" si="22"/>
        <v>0.19218500000001004</v>
      </c>
      <c r="BD51">
        <f t="shared" si="22"/>
        <v>7.8611999999999682E-2</v>
      </c>
      <c r="BE51">
        <f t="shared" si="22"/>
        <v>3.3393000000009998E-2</v>
      </c>
      <c r="BF51">
        <f t="shared" si="22"/>
        <v>6.5745000000010378E-2</v>
      </c>
      <c r="BG51">
        <f t="shared" si="22"/>
        <v>4.3984000000000023E-2</v>
      </c>
      <c r="BH51">
        <f t="shared" si="22"/>
        <v>4.9630999999999759E-2</v>
      </c>
      <c r="BI51">
        <f t="shared" si="22"/>
        <v>3.0400000000009975E-2</v>
      </c>
      <c r="BJ51">
        <f t="shared" si="22"/>
        <v>9.3018999999999963E-2</v>
      </c>
      <c r="BK51">
        <f t="shared" si="22"/>
        <v>8.5561999999989702E-2</v>
      </c>
      <c r="BL51">
        <f t="shared" si="22"/>
        <v>6.7458999999999492E-2</v>
      </c>
      <c r="BM51">
        <f t="shared" si="22"/>
        <v>2.8204999999990044E-2</v>
      </c>
      <c r="BN51">
        <f t="shared" si="22"/>
        <v>3.2182999999999851E-2</v>
      </c>
      <c r="BO51">
        <f t="shared" si="22"/>
        <v>3.773599999999E-2</v>
      </c>
      <c r="BP51">
        <f t="shared" ref="BP51:BW51" si="23">BP14-BP30</f>
        <v>4.1678999999989585E-2</v>
      </c>
      <c r="BQ51">
        <f t="shared" si="23"/>
        <v>1.5772000000000119E-2</v>
      </c>
      <c r="BR51">
        <f t="shared" si="23"/>
        <v>4.5844999999999914E-2</v>
      </c>
      <c r="BS51">
        <f t="shared" si="23"/>
        <v>0.19097099999999001</v>
      </c>
      <c r="BT51">
        <f t="shared" si="23"/>
        <v>5.725400000001013E-2</v>
      </c>
      <c r="BU51">
        <f t="shared" si="23"/>
        <v>4.6001000000010173E-2</v>
      </c>
      <c r="BV51">
        <f t="shared" si="23"/>
        <v>5.0018999999999814E-2</v>
      </c>
      <c r="BW51">
        <f t="shared" si="23"/>
        <v>1.6192999999990132E-2</v>
      </c>
      <c r="BX51" s="67">
        <f>AVERAGE(C51:BW51)</f>
        <v>5.5336328767123417E-2</v>
      </c>
      <c r="CH51" s="17">
        <v>59.824767000000001</v>
      </c>
    </row>
    <row r="52" spans="1:86" x14ac:dyDescent="0.2">
      <c r="A52" s="29" t="s">
        <v>123</v>
      </c>
      <c r="B52" s="29" t="s">
        <v>123</v>
      </c>
      <c r="C52">
        <f>C61-C67</f>
        <v>-15.368312000000001</v>
      </c>
      <c r="D52">
        <f t="shared" ref="D52:BO52" si="24">D61-D67</f>
        <v>-8.4447859999999988</v>
      </c>
      <c r="E52">
        <f t="shared" si="24"/>
        <v>-10.827031999999999</v>
      </c>
      <c r="F52">
        <f t="shared" si="24"/>
        <v>-9.567931999999999</v>
      </c>
      <c r="G52">
        <f t="shared" si="24"/>
        <v>-9.4817929999999997</v>
      </c>
      <c r="H52">
        <f t="shared" si="24"/>
        <v>-7.928770000000001</v>
      </c>
      <c r="I52">
        <f t="shared" si="24"/>
        <v>-11.404715999999999</v>
      </c>
      <c r="J52">
        <f t="shared" si="24"/>
        <v>-12.939009000000002</v>
      </c>
      <c r="K52">
        <f t="shared" si="24"/>
        <v>-12.047017</v>
      </c>
      <c r="L52">
        <f t="shared" si="24"/>
        <v>-12.253690000000001</v>
      </c>
      <c r="M52">
        <f t="shared" si="24"/>
        <v>-10.032327</v>
      </c>
      <c r="N52">
        <f t="shared" si="24"/>
        <v>-15.516325999999999</v>
      </c>
      <c r="O52">
        <f t="shared" si="24"/>
        <v>-11.664944999999999</v>
      </c>
      <c r="P52">
        <f t="shared" si="24"/>
        <v>-9.7030640000000012</v>
      </c>
      <c r="Q52">
        <f t="shared" si="24"/>
        <v>-11.197590000000002</v>
      </c>
      <c r="R52">
        <f t="shared" si="24"/>
        <v>-9.3214179999999995</v>
      </c>
      <c r="S52">
        <f t="shared" si="24"/>
        <v>-9.5619019999999999</v>
      </c>
      <c r="T52">
        <f t="shared" si="24"/>
        <v>-7.4351530000000006</v>
      </c>
      <c r="U52">
        <f t="shared" si="24"/>
        <v>-9.994885</v>
      </c>
      <c r="V52">
        <f t="shared" si="24"/>
        <v>-8.7563510000000004</v>
      </c>
      <c r="W52">
        <f t="shared" si="24"/>
        <v>-10.259406000000002</v>
      </c>
      <c r="X52">
        <f t="shared" si="24"/>
        <v>-9.4582189999999997</v>
      </c>
      <c r="Y52">
        <f t="shared" si="24"/>
        <v>-13.928426999999999</v>
      </c>
      <c r="Z52">
        <f t="shared" si="24"/>
        <v>-9.6243519999999982</v>
      </c>
      <c r="AA52">
        <f t="shared" si="24"/>
        <v>-10.825844</v>
      </c>
      <c r="AB52">
        <f t="shared" si="24"/>
        <v>-10.16506</v>
      </c>
      <c r="AC52">
        <f t="shared" si="24"/>
        <v>-8.0929380000000002</v>
      </c>
      <c r="AD52">
        <f t="shared" si="24"/>
        <v>-11.221910000000001</v>
      </c>
      <c r="AE52">
        <f t="shared" si="24"/>
        <v>-12.546984999999999</v>
      </c>
      <c r="AF52">
        <f t="shared" si="24"/>
        <v>-7.9644180000000002</v>
      </c>
      <c r="AG52">
        <f t="shared" si="24"/>
        <v>-9.3393650000000008</v>
      </c>
      <c r="AH52">
        <f t="shared" si="24"/>
        <v>-10.163824000000002</v>
      </c>
      <c r="AI52">
        <f t="shared" si="24"/>
        <v>-9.9350349999999992</v>
      </c>
      <c r="AJ52">
        <f t="shared" si="24"/>
        <v>-9.6639979999999994</v>
      </c>
      <c r="AK52">
        <f t="shared" si="24"/>
        <v>-9.8351829999999989</v>
      </c>
      <c r="AL52">
        <f t="shared" si="24"/>
        <v>-12.427465</v>
      </c>
      <c r="AM52">
        <f t="shared" si="24"/>
        <v>-10.2508</v>
      </c>
      <c r="AN52">
        <f t="shared" si="24"/>
        <v>-9.4083810000000003</v>
      </c>
      <c r="AO52">
        <f t="shared" si="24"/>
        <v>-13.640648000000002</v>
      </c>
      <c r="AP52">
        <f t="shared" si="24"/>
        <v>-8.637398000000001</v>
      </c>
      <c r="AQ52">
        <f t="shared" si="24"/>
        <v>-10.956738000000001</v>
      </c>
      <c r="AR52">
        <f t="shared" si="24"/>
        <v>-11.248434</v>
      </c>
      <c r="AS52">
        <f t="shared" si="24"/>
        <v>-9.2971550000000001</v>
      </c>
      <c r="AT52">
        <f t="shared" si="24"/>
        <v>-9.8773110000000006</v>
      </c>
      <c r="AU52">
        <f t="shared" si="24"/>
        <v>-10.150477</v>
      </c>
      <c r="AV52">
        <f t="shared" si="24"/>
        <v>-10.629135000000002</v>
      </c>
      <c r="AW52">
        <f t="shared" si="24"/>
        <v>-7.4099590000000006</v>
      </c>
      <c r="AX52">
        <f t="shared" si="24"/>
        <v>-9.7548579999999987</v>
      </c>
      <c r="AY52">
        <f t="shared" si="24"/>
        <v>-11.830203999999998</v>
      </c>
      <c r="AZ52">
        <f t="shared" si="24"/>
        <v>-9.8664790000000018</v>
      </c>
      <c r="BA52">
        <f t="shared" si="24"/>
        <v>-12.049529999999999</v>
      </c>
      <c r="BB52">
        <f t="shared" si="24"/>
        <v>-8.4842759999999995</v>
      </c>
      <c r="BC52">
        <f t="shared" si="24"/>
        <v>-8.7423830000000002</v>
      </c>
      <c r="BD52">
        <f t="shared" si="24"/>
        <v>-9.1873259999999988</v>
      </c>
      <c r="BE52">
        <f t="shared" si="24"/>
        <v>-8.5884040000000006</v>
      </c>
      <c r="BF52">
        <f t="shared" si="24"/>
        <v>-8.4933549999999993</v>
      </c>
      <c r="BG52">
        <f t="shared" si="24"/>
        <v>-8.2653050000000015</v>
      </c>
      <c r="BH52">
        <f t="shared" si="24"/>
        <v>-9.456821999999999</v>
      </c>
      <c r="BI52">
        <f t="shared" si="24"/>
        <v>-11.510812999999999</v>
      </c>
      <c r="BJ52">
        <f t="shared" si="24"/>
        <v>-9.9773980000000009</v>
      </c>
      <c r="BK52">
        <f t="shared" si="24"/>
        <v>-9.3220600000000005</v>
      </c>
      <c r="BL52">
        <f t="shared" si="24"/>
        <v>-12.256857</v>
      </c>
      <c r="BM52">
        <f t="shared" si="24"/>
        <v>-10.907783999999999</v>
      </c>
      <c r="BN52">
        <f t="shared" si="24"/>
        <v>-10.755274999999999</v>
      </c>
      <c r="BO52">
        <f t="shared" si="24"/>
        <v>-10.53782</v>
      </c>
      <c r="BP52">
        <f t="shared" ref="BP52:BW52" si="25">BP61-BP67</f>
        <v>-10.847861000000002</v>
      </c>
      <c r="BQ52">
        <f t="shared" si="25"/>
        <v>-9.4887380000000014</v>
      </c>
      <c r="BR52">
        <f t="shared" si="25"/>
        <v>-9.9138319999999993</v>
      </c>
      <c r="BS52">
        <f t="shared" si="25"/>
        <v>-8.5558399999999999</v>
      </c>
      <c r="BT52">
        <f t="shared" si="25"/>
        <v>-14.591852999999999</v>
      </c>
      <c r="BU52">
        <f t="shared" si="25"/>
        <v>-11.265772</v>
      </c>
      <c r="BV52">
        <f t="shared" si="25"/>
        <v>-13.122342999999999</v>
      </c>
      <c r="BW52">
        <f t="shared" si="25"/>
        <v>-11.087103000000001</v>
      </c>
      <c r="BX52" s="67">
        <f>AVERAGE(C52:BW52)</f>
        <v>-10.400906493150682</v>
      </c>
      <c r="CH52" s="17">
        <v>1188.654511</v>
      </c>
    </row>
    <row r="53" spans="1:86" ht="15" customHeight="1" x14ac:dyDescent="0.2">
      <c r="A53" s="29"/>
      <c r="B53" s="29"/>
      <c r="BX53" s="67"/>
      <c r="CH53" s="17">
        <v>6.0205450000000003</v>
      </c>
    </row>
    <row r="54" spans="1:86" ht="20" customHeight="1" x14ac:dyDescent="0.2">
      <c r="BT54" s="73"/>
    </row>
    <row r="55" spans="1:86" ht="17" thickBot="1" x14ac:dyDescent="0.25">
      <c r="BT55" s="73"/>
      <c r="CH55" s="11" t="s">
        <v>76</v>
      </c>
    </row>
    <row r="56" spans="1:86" ht="19" x14ac:dyDescent="0.25">
      <c r="A56" s="20" t="s">
        <v>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4"/>
      <c r="BT56" s="4"/>
      <c r="BU56" s="4"/>
      <c r="BV56" s="4"/>
      <c r="BW56" s="4"/>
      <c r="CH56" s="72">
        <f>CH58-CH57</f>
        <v>1128.0906649999999</v>
      </c>
    </row>
    <row r="57" spans="1:86" x14ac:dyDescent="0.2">
      <c r="A57" s="9" t="s">
        <v>1</v>
      </c>
      <c r="B57" s="9"/>
      <c r="C57" s="9" t="s">
        <v>2</v>
      </c>
      <c r="D57" s="9" t="s">
        <v>3</v>
      </c>
      <c r="E57" s="9" t="s">
        <v>4</v>
      </c>
      <c r="F57" s="9" t="s">
        <v>5</v>
      </c>
      <c r="G57" s="9" t="s">
        <v>6</v>
      </c>
      <c r="H57" s="9" t="s">
        <v>7</v>
      </c>
      <c r="I57" s="9" t="s">
        <v>8</v>
      </c>
      <c r="J57" s="9" t="s">
        <v>9</v>
      </c>
      <c r="K57" s="9" t="s">
        <v>10</v>
      </c>
      <c r="L57" s="9" t="s">
        <v>11</v>
      </c>
      <c r="M57" s="9" t="s">
        <v>12</v>
      </c>
      <c r="N57" s="9" t="s">
        <v>13</v>
      </c>
      <c r="O57" s="9" t="s">
        <v>14</v>
      </c>
      <c r="P57" s="9" t="s">
        <v>15</v>
      </c>
      <c r="Q57" s="9" t="s">
        <v>16</v>
      </c>
      <c r="R57" s="9" t="s">
        <v>17</v>
      </c>
      <c r="S57" s="9" t="s">
        <v>18</v>
      </c>
      <c r="T57" s="9" t="s">
        <v>19</v>
      </c>
      <c r="U57" s="9" t="s">
        <v>20</v>
      </c>
      <c r="V57" s="9" t="s">
        <v>21</v>
      </c>
      <c r="W57" s="9" t="s">
        <v>22</v>
      </c>
      <c r="X57" s="9" t="s">
        <v>23</v>
      </c>
      <c r="Y57" s="9" t="s">
        <v>24</v>
      </c>
      <c r="Z57" s="9" t="s">
        <v>25</v>
      </c>
      <c r="AA57" s="9" t="s">
        <v>26</v>
      </c>
      <c r="AB57" s="9" t="s">
        <v>27</v>
      </c>
      <c r="AC57" s="9" t="s">
        <v>28</v>
      </c>
      <c r="AD57" s="9" t="s">
        <v>29</v>
      </c>
      <c r="AE57" s="9" t="s">
        <v>30</v>
      </c>
      <c r="AF57" s="9" t="s">
        <v>31</v>
      </c>
      <c r="AG57" s="9" t="s">
        <v>32</v>
      </c>
      <c r="AH57" s="9" t="s">
        <v>33</v>
      </c>
      <c r="AI57" s="9" t="s">
        <v>34</v>
      </c>
      <c r="AJ57" s="9" t="s">
        <v>35</v>
      </c>
      <c r="AK57" s="9" t="s">
        <v>36</v>
      </c>
      <c r="AL57" s="9" t="s">
        <v>37</v>
      </c>
      <c r="AM57" s="9" t="s">
        <v>38</v>
      </c>
      <c r="AN57" s="9" t="s">
        <v>39</v>
      </c>
      <c r="AO57" s="9" t="s">
        <v>40</v>
      </c>
      <c r="AP57" s="9" t="s">
        <v>41</v>
      </c>
      <c r="AQ57" s="9" t="s">
        <v>42</v>
      </c>
      <c r="AR57" s="9" t="s">
        <v>43</v>
      </c>
      <c r="AS57" s="9" t="s">
        <v>44</v>
      </c>
      <c r="AT57" s="9" t="s">
        <v>45</v>
      </c>
      <c r="AU57" s="9" t="s">
        <v>46</v>
      </c>
      <c r="AV57" s="9" t="s">
        <v>47</v>
      </c>
      <c r="AW57" s="9" t="s">
        <v>48</v>
      </c>
      <c r="AX57" s="9" t="s">
        <v>49</v>
      </c>
      <c r="AY57" s="9" t="s">
        <v>50</v>
      </c>
      <c r="AZ57" s="9" t="s">
        <v>51</v>
      </c>
      <c r="BA57" s="9" t="s">
        <v>52</v>
      </c>
      <c r="BB57" s="9" t="s">
        <v>53</v>
      </c>
      <c r="BC57" s="9" t="s">
        <v>54</v>
      </c>
      <c r="BD57" s="9" t="s">
        <v>55</v>
      </c>
      <c r="BE57" s="9" t="s">
        <v>56</v>
      </c>
      <c r="BF57" s="9" t="s">
        <v>57</v>
      </c>
      <c r="BG57" s="9" t="s">
        <v>58</v>
      </c>
      <c r="BH57" s="9" t="s">
        <v>59</v>
      </c>
      <c r="BI57" s="9" t="s">
        <v>60</v>
      </c>
      <c r="BJ57" s="9" t="s">
        <v>61</v>
      </c>
      <c r="BK57" s="9" t="s">
        <v>62</v>
      </c>
      <c r="BL57" s="9" t="s">
        <v>63</v>
      </c>
      <c r="BM57" s="9" t="s">
        <v>64</v>
      </c>
      <c r="BN57" s="9" t="s">
        <v>65</v>
      </c>
      <c r="BO57" s="9" t="s">
        <v>66</v>
      </c>
      <c r="BP57" s="9" t="s">
        <v>67</v>
      </c>
      <c r="BQ57" s="9" t="s">
        <v>68</v>
      </c>
      <c r="BR57" s="9" t="s">
        <v>69</v>
      </c>
      <c r="BS57" s="9" t="s">
        <v>70</v>
      </c>
      <c r="BT57" s="9" t="s">
        <v>71</v>
      </c>
      <c r="BU57" s="9" t="s">
        <v>72</v>
      </c>
      <c r="BV57" s="9" t="s">
        <v>73</v>
      </c>
      <c r="BW57" s="9" t="s">
        <v>74</v>
      </c>
      <c r="BX57" s="10" t="s">
        <v>75</v>
      </c>
      <c r="CH57" s="17">
        <v>48.810648999999998</v>
      </c>
    </row>
    <row r="58" spans="1:86" x14ac:dyDescent="0.2">
      <c r="A58" s="9" t="s">
        <v>124</v>
      </c>
      <c r="B58" s="15"/>
      <c r="C58" s="74">
        <f t="shared" ref="C58:BN58" si="26">C60-C59</f>
        <v>1180.6397299999999</v>
      </c>
      <c r="D58" s="74">
        <f t="shared" si="26"/>
        <v>639.18794800000001</v>
      </c>
      <c r="E58" s="74">
        <f t="shared" si="26"/>
        <v>706.17503999999997</v>
      </c>
      <c r="F58" s="74">
        <f t="shared" si="26"/>
        <v>698.01700899999901</v>
      </c>
      <c r="G58" s="74">
        <f t="shared" si="26"/>
        <v>727.09654699999999</v>
      </c>
      <c r="H58" s="74">
        <f t="shared" si="26"/>
        <v>626.797777</v>
      </c>
      <c r="I58" s="74">
        <f t="shared" si="26"/>
        <v>811.88508999999999</v>
      </c>
      <c r="J58" s="74">
        <f t="shared" si="26"/>
        <v>1031.4853159999998</v>
      </c>
      <c r="K58" s="74">
        <f t="shared" si="26"/>
        <v>930.05249400000002</v>
      </c>
      <c r="L58" s="74">
        <f t="shared" si="26"/>
        <v>970.844694</v>
      </c>
      <c r="M58" s="74">
        <f t="shared" si="26"/>
        <v>919.64197599999898</v>
      </c>
      <c r="N58" s="74">
        <f t="shared" si="26"/>
        <v>1253.1645060000001</v>
      </c>
      <c r="O58" s="74">
        <f t="shared" si="26"/>
        <v>917.46655299999895</v>
      </c>
      <c r="P58" s="74">
        <f t="shared" si="26"/>
        <v>832.15654099999995</v>
      </c>
      <c r="Q58" s="74">
        <f t="shared" si="26"/>
        <v>863.14516899999899</v>
      </c>
      <c r="R58" s="74">
        <f t="shared" si="26"/>
        <v>710.50963299999989</v>
      </c>
      <c r="S58" s="74">
        <f t="shared" si="26"/>
        <v>750.81879999999899</v>
      </c>
      <c r="T58" s="74">
        <f t="shared" si="26"/>
        <v>628.15641500000004</v>
      </c>
      <c r="U58" s="74">
        <f t="shared" si="26"/>
        <v>694.721228</v>
      </c>
      <c r="V58" s="74">
        <f t="shared" si="26"/>
        <v>691.56722999999897</v>
      </c>
      <c r="W58" s="74">
        <f t="shared" si="26"/>
        <v>723.84862299999895</v>
      </c>
      <c r="X58" s="74">
        <f t="shared" si="26"/>
        <v>730.009457</v>
      </c>
      <c r="Y58" s="74">
        <f t="shared" si="26"/>
        <v>989.43113799999992</v>
      </c>
      <c r="Z58" s="74">
        <f t="shared" si="26"/>
        <v>784.51108999999997</v>
      </c>
      <c r="AA58" s="74">
        <f t="shared" si="26"/>
        <v>847.94375399999899</v>
      </c>
      <c r="AB58" s="74">
        <f t="shared" si="26"/>
        <v>828.76149499999906</v>
      </c>
      <c r="AC58" s="74">
        <f t="shared" si="26"/>
        <v>660.46068300000002</v>
      </c>
      <c r="AD58" s="74">
        <f t="shared" si="26"/>
        <v>839.01649099999895</v>
      </c>
      <c r="AE58" s="74">
        <f t="shared" si="26"/>
        <v>1118.363836</v>
      </c>
      <c r="AF58" s="74">
        <f t="shared" si="26"/>
        <v>630.301422</v>
      </c>
      <c r="AG58" s="74">
        <f t="shared" si="26"/>
        <v>722.00637799999902</v>
      </c>
      <c r="AH58" s="74">
        <f t="shared" si="26"/>
        <v>786.70625799999993</v>
      </c>
      <c r="AI58" s="74">
        <f t="shared" si="26"/>
        <v>800.25174399999901</v>
      </c>
      <c r="AJ58" s="74">
        <f t="shared" si="26"/>
        <v>757.11111099999994</v>
      </c>
      <c r="AK58" s="74">
        <f t="shared" si="26"/>
        <v>761.277289</v>
      </c>
      <c r="AL58" s="74">
        <f t="shared" si="26"/>
        <v>981.24020199999995</v>
      </c>
      <c r="AM58" s="74">
        <f t="shared" si="26"/>
        <v>772.66551199999992</v>
      </c>
      <c r="AN58" s="74">
        <f t="shared" si="26"/>
        <v>700.59801999999991</v>
      </c>
      <c r="AO58" s="74">
        <f t="shared" si="26"/>
        <v>1110.539708</v>
      </c>
      <c r="AP58" s="74">
        <f t="shared" si="26"/>
        <v>695.91956599999992</v>
      </c>
      <c r="AQ58" s="74">
        <f t="shared" si="26"/>
        <v>873.14480000000003</v>
      </c>
      <c r="AR58" s="74">
        <f t="shared" si="26"/>
        <v>885.336141</v>
      </c>
      <c r="AS58" s="74">
        <f t="shared" si="26"/>
        <v>695.21439800000007</v>
      </c>
      <c r="AT58" s="74">
        <f t="shared" si="26"/>
        <v>744.01861899999903</v>
      </c>
      <c r="AU58" s="74">
        <f t="shared" si="26"/>
        <v>820.92480799999998</v>
      </c>
      <c r="AV58" s="74">
        <f t="shared" si="26"/>
        <v>903.95601699999997</v>
      </c>
      <c r="AW58" s="74">
        <f t="shared" si="26"/>
        <v>797.30882099999906</v>
      </c>
      <c r="AX58" s="74">
        <f t="shared" si="26"/>
        <v>839.96630899999991</v>
      </c>
      <c r="AY58" s="74">
        <f t="shared" si="26"/>
        <v>906.97578699999906</v>
      </c>
      <c r="AZ58" s="74">
        <f t="shared" si="26"/>
        <v>797.32682899999998</v>
      </c>
      <c r="BA58" s="74">
        <f t="shared" si="26"/>
        <v>900.49354699999992</v>
      </c>
      <c r="BB58" s="74">
        <f t="shared" si="26"/>
        <v>658.576504</v>
      </c>
      <c r="BC58" s="74">
        <f t="shared" si="26"/>
        <v>657.80611499999895</v>
      </c>
      <c r="BD58" s="74">
        <f t="shared" si="26"/>
        <v>722.328487</v>
      </c>
      <c r="BE58" s="74">
        <f t="shared" si="26"/>
        <v>694.38185099999907</v>
      </c>
      <c r="BF58" s="74">
        <f t="shared" si="26"/>
        <v>744.46780799999999</v>
      </c>
      <c r="BG58" s="74">
        <f t="shared" si="26"/>
        <v>703.87720799999897</v>
      </c>
      <c r="BH58" s="74">
        <f t="shared" si="26"/>
        <v>722.46197699999993</v>
      </c>
      <c r="BI58" s="74">
        <f t="shared" si="26"/>
        <v>828.76214299999992</v>
      </c>
      <c r="BJ58" s="74">
        <f t="shared" si="26"/>
        <v>805.08383100000003</v>
      </c>
      <c r="BK58" s="74">
        <f t="shared" si="26"/>
        <v>806.95437999999899</v>
      </c>
      <c r="BL58" s="74">
        <f t="shared" si="26"/>
        <v>884.89482799999894</v>
      </c>
      <c r="BM58" s="74">
        <f t="shared" si="26"/>
        <v>924.82502099999999</v>
      </c>
      <c r="BN58" s="74">
        <f t="shared" si="26"/>
        <v>868.83579699999996</v>
      </c>
      <c r="BO58" s="74">
        <f t="shared" ref="BO58:BX58" si="27">BO60-BO59</f>
        <v>913.48282199999903</v>
      </c>
      <c r="BP58" s="74">
        <f t="shared" si="27"/>
        <v>873.49763999999902</v>
      </c>
      <c r="BQ58" s="74">
        <f t="shared" si="27"/>
        <v>818.65928999999994</v>
      </c>
      <c r="BR58" s="74">
        <f t="shared" si="27"/>
        <v>856.81817999999998</v>
      </c>
      <c r="BS58" s="74">
        <f t="shared" si="27"/>
        <v>731.54105099999902</v>
      </c>
      <c r="BT58" s="74">
        <f t="shared" si="27"/>
        <v>991.63655499999993</v>
      </c>
      <c r="BU58" s="74">
        <f t="shared" si="27"/>
        <v>904.85706300000004</v>
      </c>
      <c r="BV58" s="74">
        <f t="shared" si="27"/>
        <v>926.36062300000003</v>
      </c>
      <c r="BW58" s="74">
        <f t="shared" si="27"/>
        <v>887.755359</v>
      </c>
      <c r="BX58" s="16">
        <f>AVERAGE(C58:BW58)</f>
        <v>820.78115180821897</v>
      </c>
      <c r="CH58" s="17">
        <v>1176.901314</v>
      </c>
    </row>
    <row r="59" spans="1:86" x14ac:dyDescent="0.2">
      <c r="A59" s="9" t="s">
        <v>125</v>
      </c>
      <c r="B59" s="15" t="s">
        <v>87</v>
      </c>
      <c r="C59" s="15">
        <v>57.341330999999997</v>
      </c>
      <c r="D59" s="15">
        <v>40.209128999999997</v>
      </c>
      <c r="E59" s="15">
        <v>45.523364999999998</v>
      </c>
      <c r="F59" s="15">
        <v>49.044350999999999</v>
      </c>
      <c r="G59" s="15">
        <v>38.925485000000002</v>
      </c>
      <c r="H59" s="15">
        <v>31.063821000000001</v>
      </c>
      <c r="I59" s="15">
        <v>53.828975999999997</v>
      </c>
      <c r="J59" s="15">
        <v>46.705198000000003</v>
      </c>
      <c r="K59" s="15">
        <v>45.457695999999999</v>
      </c>
      <c r="L59" s="15">
        <v>45.392080999999997</v>
      </c>
      <c r="M59" s="15">
        <v>48.099003000000003</v>
      </c>
      <c r="N59" s="15">
        <v>59.610027000000002</v>
      </c>
      <c r="O59" s="15">
        <v>46.502955</v>
      </c>
      <c r="P59" s="15">
        <v>40.298662</v>
      </c>
      <c r="Q59" s="15">
        <v>51.917369000000001</v>
      </c>
      <c r="R59" s="15">
        <v>40.85868</v>
      </c>
      <c r="S59" s="15">
        <v>42.820991999999997</v>
      </c>
      <c r="T59" s="15">
        <v>36.222417999999998</v>
      </c>
      <c r="U59" s="15">
        <v>38.652555999999997</v>
      </c>
      <c r="V59" s="15">
        <v>37.267811000000002</v>
      </c>
      <c r="W59" s="15">
        <v>41.110661</v>
      </c>
      <c r="X59" s="15">
        <v>36.023826999999997</v>
      </c>
      <c r="Y59" s="15">
        <v>55.094873</v>
      </c>
      <c r="Z59" s="15">
        <v>39.186376000000003</v>
      </c>
      <c r="AA59" s="15">
        <v>45.091214000000001</v>
      </c>
      <c r="AB59" s="15">
        <v>42.540861</v>
      </c>
      <c r="AC59" s="15">
        <v>30.574303</v>
      </c>
      <c r="AD59" s="15">
        <v>41.810186000000002</v>
      </c>
      <c r="AE59" s="15">
        <v>58.694307000000002</v>
      </c>
      <c r="AF59" s="15">
        <v>34.245278999999996</v>
      </c>
      <c r="AG59" s="15">
        <v>41.956856000000002</v>
      </c>
      <c r="AH59" s="15">
        <v>42.347841000000003</v>
      </c>
      <c r="AI59" s="15">
        <v>43.772914</v>
      </c>
      <c r="AJ59" s="15">
        <v>37.390062999999998</v>
      </c>
      <c r="AK59" s="15">
        <v>40.64725</v>
      </c>
      <c r="AL59" s="15">
        <v>46.669054000000003</v>
      </c>
      <c r="AM59" s="15">
        <v>40.960410000000003</v>
      </c>
      <c r="AN59" s="15">
        <v>40.287174999999998</v>
      </c>
      <c r="AO59" s="15">
        <v>55.548665999999997</v>
      </c>
      <c r="AP59" s="15">
        <v>36.682530999999997</v>
      </c>
      <c r="AQ59" s="15">
        <v>48.14528</v>
      </c>
      <c r="AR59" s="15">
        <v>45.551172000000001</v>
      </c>
      <c r="AS59" s="15">
        <v>38.085397999999998</v>
      </c>
      <c r="AT59" s="15">
        <v>42.260043000000003</v>
      </c>
      <c r="AU59" s="15">
        <v>44.331763000000002</v>
      </c>
      <c r="AV59" s="15">
        <v>49.268645999999997</v>
      </c>
      <c r="AW59" s="15">
        <v>22.927475999999999</v>
      </c>
      <c r="AX59" s="15">
        <v>42.945318</v>
      </c>
      <c r="AY59" s="15">
        <v>49.054634</v>
      </c>
      <c r="AZ59" s="15">
        <v>44.697859999999999</v>
      </c>
      <c r="BA59" s="15">
        <v>43.519748</v>
      </c>
      <c r="BB59" s="15">
        <v>34.913603999999999</v>
      </c>
      <c r="BC59" s="15">
        <v>37.679732999999999</v>
      </c>
      <c r="BD59" s="15">
        <v>39.578273000000003</v>
      </c>
      <c r="BE59" s="15">
        <v>36.607728999999999</v>
      </c>
      <c r="BF59" s="15">
        <v>36.997135</v>
      </c>
      <c r="BG59" s="15">
        <v>38.067439999999998</v>
      </c>
      <c r="BH59" s="15">
        <v>37.340864000000003</v>
      </c>
      <c r="BI59" s="15">
        <v>48.596792000000001</v>
      </c>
      <c r="BJ59" s="15">
        <v>44.964078000000001</v>
      </c>
      <c r="BK59" s="15">
        <v>44.34995</v>
      </c>
      <c r="BL59" s="15">
        <v>49.122007000000004</v>
      </c>
      <c r="BM59" s="15">
        <v>48.6676</v>
      </c>
      <c r="BN59" s="15">
        <v>47.504266999999999</v>
      </c>
      <c r="BO59" s="15">
        <v>50.969074999999997</v>
      </c>
      <c r="BP59" s="15">
        <v>44.199976999999997</v>
      </c>
      <c r="BQ59" s="15">
        <v>45.158762000000003</v>
      </c>
      <c r="BR59" s="15">
        <v>43.669184999999999</v>
      </c>
      <c r="BS59" s="15">
        <v>33.997168000000002</v>
      </c>
      <c r="BT59" s="15">
        <v>55.941015</v>
      </c>
      <c r="BU59" s="15">
        <v>51.887222000000001</v>
      </c>
      <c r="BV59" s="15">
        <v>45.935710999999998</v>
      </c>
      <c r="BW59" s="15">
        <v>44.967404000000002</v>
      </c>
      <c r="BX59" s="16">
        <f>AVERAGE(C59:BW59)</f>
        <v>43.538066876712314</v>
      </c>
      <c r="CH59" s="17">
        <v>20.11834</v>
      </c>
    </row>
    <row r="60" spans="1:86" ht="17" thickBot="1" x14ac:dyDescent="0.25">
      <c r="A60" s="9" t="s">
        <v>126</v>
      </c>
      <c r="B60" s="15"/>
      <c r="C60" s="15">
        <v>1237.981061</v>
      </c>
      <c r="D60" s="15">
        <v>679.39707699999997</v>
      </c>
      <c r="E60" s="15">
        <v>751.69840499999998</v>
      </c>
      <c r="F60" s="15">
        <v>747.06135999999901</v>
      </c>
      <c r="G60" s="15">
        <v>766.02203199999997</v>
      </c>
      <c r="H60" s="15">
        <v>657.86159799999996</v>
      </c>
      <c r="I60" s="15">
        <v>865.714066</v>
      </c>
      <c r="J60" s="15">
        <v>1078.1905139999999</v>
      </c>
      <c r="K60" s="15">
        <v>975.51018999999997</v>
      </c>
      <c r="L60" s="15">
        <v>1016.236775</v>
      </c>
      <c r="M60" s="15">
        <v>967.74097899999902</v>
      </c>
      <c r="N60" s="15">
        <v>1312.774533</v>
      </c>
      <c r="O60" s="15">
        <v>963.969507999999</v>
      </c>
      <c r="P60" s="15">
        <v>872.45520299999998</v>
      </c>
      <c r="Q60" s="15">
        <v>915.06253799999899</v>
      </c>
      <c r="R60" s="15">
        <v>751.36831299999994</v>
      </c>
      <c r="S60" s="15">
        <v>793.63979199999903</v>
      </c>
      <c r="T60" s="15">
        <v>664.37883299999999</v>
      </c>
      <c r="U60" s="15">
        <v>733.373784</v>
      </c>
      <c r="V60" s="15">
        <v>728.83504099999902</v>
      </c>
      <c r="W60" s="15">
        <v>764.959283999999</v>
      </c>
      <c r="X60" s="15">
        <v>766.03328399999998</v>
      </c>
      <c r="Y60" s="15">
        <v>1044.5260109999999</v>
      </c>
      <c r="Z60" s="15">
        <v>823.69746599999996</v>
      </c>
      <c r="AA60" s="15">
        <v>893.03496799999903</v>
      </c>
      <c r="AB60" s="15">
        <v>871.30235599999901</v>
      </c>
      <c r="AC60" s="15">
        <v>691.034986</v>
      </c>
      <c r="AD60" s="15">
        <v>880.82667699999899</v>
      </c>
      <c r="AE60" s="15">
        <v>1177.058143</v>
      </c>
      <c r="AF60" s="15">
        <v>664.54670099999998</v>
      </c>
      <c r="AG60" s="15">
        <v>763.96323399999903</v>
      </c>
      <c r="AH60" s="15">
        <v>829.05409899999995</v>
      </c>
      <c r="AI60" s="15">
        <v>844.02465799999902</v>
      </c>
      <c r="AJ60" s="15">
        <v>794.50117399999999</v>
      </c>
      <c r="AK60" s="15">
        <v>801.92453899999998</v>
      </c>
      <c r="AL60" s="15">
        <v>1027.9092559999999</v>
      </c>
      <c r="AM60" s="15">
        <v>813.62592199999995</v>
      </c>
      <c r="AN60" s="15">
        <v>740.88519499999995</v>
      </c>
      <c r="AO60" s="15">
        <v>1166.0883739999999</v>
      </c>
      <c r="AP60" s="15">
        <v>732.60209699999996</v>
      </c>
      <c r="AQ60" s="15">
        <v>921.29007999999999</v>
      </c>
      <c r="AR60" s="15">
        <v>930.88731299999995</v>
      </c>
      <c r="AS60" s="15">
        <v>733.29979600000001</v>
      </c>
      <c r="AT60" s="15">
        <v>786.27866199999903</v>
      </c>
      <c r="AU60" s="15">
        <v>865.25657100000001</v>
      </c>
      <c r="AV60" s="15">
        <v>953.22466299999996</v>
      </c>
      <c r="AW60" s="15">
        <v>820.23629699999901</v>
      </c>
      <c r="AX60" s="15">
        <v>882.91162699999995</v>
      </c>
      <c r="AY60" s="15">
        <v>956.03042099999902</v>
      </c>
      <c r="AZ60" s="15">
        <v>842.02468899999997</v>
      </c>
      <c r="BA60" s="15">
        <v>944.01329499999997</v>
      </c>
      <c r="BB60" s="15">
        <v>693.49010799999996</v>
      </c>
      <c r="BC60" s="15">
        <v>695.48584799999901</v>
      </c>
      <c r="BD60" s="15">
        <v>761.90675999999996</v>
      </c>
      <c r="BE60" s="15">
        <v>730.98957999999902</v>
      </c>
      <c r="BF60" s="15">
        <v>781.46494299999995</v>
      </c>
      <c r="BG60" s="15">
        <v>741.94464799999901</v>
      </c>
      <c r="BH60" s="15">
        <v>759.80284099999994</v>
      </c>
      <c r="BI60" s="15">
        <v>877.35893499999997</v>
      </c>
      <c r="BJ60" s="15">
        <v>850.047909</v>
      </c>
      <c r="BK60" s="15">
        <v>851.30432999999903</v>
      </c>
      <c r="BL60" s="15">
        <v>934.01683499999899</v>
      </c>
      <c r="BM60" s="15">
        <v>973.49262099999999</v>
      </c>
      <c r="BN60" s="15">
        <v>916.34006399999998</v>
      </c>
      <c r="BO60" s="15">
        <v>964.45189699999901</v>
      </c>
      <c r="BP60" s="15">
        <v>917.69761699999901</v>
      </c>
      <c r="BQ60" s="15">
        <v>863.81805199999997</v>
      </c>
      <c r="BR60" s="15">
        <v>900.48736499999995</v>
      </c>
      <c r="BS60" s="15">
        <v>765.538218999999</v>
      </c>
      <c r="BT60" s="15">
        <v>1047.5775699999999</v>
      </c>
      <c r="BU60" s="15">
        <v>956.74428499999999</v>
      </c>
      <c r="BV60" s="15">
        <v>972.296334</v>
      </c>
      <c r="BW60" s="15">
        <v>932.72276299999999</v>
      </c>
      <c r="BX60" s="16">
        <f>AVERAGE(C60:BW60)</f>
        <v>864.31921868493089</v>
      </c>
    </row>
    <row r="61" spans="1:86" x14ac:dyDescent="0.2">
      <c r="A61" s="9" t="s">
        <v>127</v>
      </c>
      <c r="B61" s="15"/>
      <c r="C61" s="15">
        <v>5.9680949999999999</v>
      </c>
      <c r="D61" s="15">
        <v>3.888531</v>
      </c>
      <c r="E61" s="15">
        <v>4.3147690000000001</v>
      </c>
      <c r="F61" s="15">
        <v>4.5287639999999998</v>
      </c>
      <c r="G61" s="15">
        <v>4.1713360000000002</v>
      </c>
      <c r="H61" s="15">
        <v>3.1360999999999999</v>
      </c>
      <c r="I61" s="15">
        <v>4.7245480000000004</v>
      </c>
      <c r="J61" s="15">
        <v>5.2643420000000001</v>
      </c>
      <c r="K61" s="15">
        <v>5.3096439999999996</v>
      </c>
      <c r="L61" s="15">
        <v>5.0589490000000001</v>
      </c>
      <c r="M61" s="15">
        <v>5.5707190000000004</v>
      </c>
      <c r="N61" s="15">
        <v>6.4270430000000003</v>
      </c>
      <c r="O61" s="15">
        <v>4.6395460000000002</v>
      </c>
      <c r="P61" s="15">
        <v>4.5715589999999997</v>
      </c>
      <c r="Q61" s="15">
        <v>4.9734179999999997</v>
      </c>
      <c r="R61" s="15">
        <v>4.1761429999999997</v>
      </c>
      <c r="S61" s="15">
        <v>4.6247540000000003</v>
      </c>
      <c r="T61" s="15">
        <v>3.9054630000000001</v>
      </c>
      <c r="U61" s="15">
        <v>3.5062319999999998</v>
      </c>
      <c r="V61" s="15">
        <v>3.864779</v>
      </c>
      <c r="W61" s="15">
        <v>4.2611619999999997</v>
      </c>
      <c r="X61" s="15">
        <v>4.1791260000000001</v>
      </c>
      <c r="Y61" s="15">
        <v>5.5365390000000003</v>
      </c>
      <c r="Z61" s="15">
        <v>4.2295480000000003</v>
      </c>
      <c r="AA61" s="15">
        <v>5.1824260000000004</v>
      </c>
      <c r="AB61" s="15">
        <v>4.4911599999999998</v>
      </c>
      <c r="AC61" s="15">
        <v>3.7091419999999999</v>
      </c>
      <c r="AD61" s="15">
        <v>4.5792130000000002</v>
      </c>
      <c r="AE61" s="15">
        <v>6.5507689999999998</v>
      </c>
      <c r="AF61" s="15">
        <v>3.583907</v>
      </c>
      <c r="AG61" s="15">
        <v>4.4056100000000002</v>
      </c>
      <c r="AH61" s="15">
        <v>4.2050749999999999</v>
      </c>
      <c r="AI61" s="15">
        <v>4.77529</v>
      </c>
      <c r="AJ61" s="15">
        <v>3.9699939999999998</v>
      </c>
      <c r="AK61" s="15">
        <v>4.6151970000000002</v>
      </c>
      <c r="AL61" s="15">
        <v>5.0012840000000001</v>
      </c>
      <c r="AM61" s="15">
        <v>4.3824459999999998</v>
      </c>
      <c r="AN61" s="15">
        <v>4.3341589999999997</v>
      </c>
      <c r="AO61" s="15">
        <v>6.293024</v>
      </c>
      <c r="AP61" s="15">
        <v>3.6701410000000001</v>
      </c>
      <c r="AQ61" s="15">
        <v>5.2697919999999998</v>
      </c>
      <c r="AR61" s="15">
        <v>4.9802350000000004</v>
      </c>
      <c r="AS61" s="15">
        <v>3.7330760000000001</v>
      </c>
      <c r="AT61" s="15">
        <v>4.1369179999999997</v>
      </c>
      <c r="AU61" s="15">
        <v>4.6052330000000001</v>
      </c>
      <c r="AV61" s="15">
        <v>4.9605389999999998</v>
      </c>
      <c r="AW61" s="15">
        <v>3.3575590000000002</v>
      </c>
      <c r="AX61" s="15">
        <v>4.4992470000000004</v>
      </c>
      <c r="AY61" s="15">
        <v>5.3510049999999998</v>
      </c>
      <c r="AZ61" s="15">
        <v>4.5734669999999999</v>
      </c>
      <c r="BA61" s="15">
        <v>4.9704829999999998</v>
      </c>
      <c r="BB61" s="15">
        <v>3.5109520000000001</v>
      </c>
      <c r="BC61" s="15">
        <v>3.677486</v>
      </c>
      <c r="BD61" s="15">
        <v>4.0765580000000003</v>
      </c>
      <c r="BE61" s="15">
        <v>3.5335619999999999</v>
      </c>
      <c r="BF61" s="15">
        <v>3.9179490000000001</v>
      </c>
      <c r="BG61" s="15">
        <v>4.1757379999999999</v>
      </c>
      <c r="BH61" s="15">
        <v>3.8956249999999999</v>
      </c>
      <c r="BI61" s="15">
        <v>5.2074249999999997</v>
      </c>
      <c r="BJ61" s="15">
        <v>4.230251</v>
      </c>
      <c r="BK61" s="15">
        <v>4.703144</v>
      </c>
      <c r="BL61" s="15">
        <v>5.1215469999999996</v>
      </c>
      <c r="BM61" s="15">
        <v>5.0539750000000003</v>
      </c>
      <c r="BN61" s="15">
        <v>4.8674379999999999</v>
      </c>
      <c r="BO61" s="15">
        <v>5.4556529999999999</v>
      </c>
      <c r="BP61" s="15">
        <v>4.7833449999999997</v>
      </c>
      <c r="BQ61" s="15">
        <v>5.1942060000000003</v>
      </c>
      <c r="BR61" s="15">
        <v>4.6380730000000003</v>
      </c>
      <c r="BS61" s="15">
        <v>3.7266270000000001</v>
      </c>
      <c r="BT61" s="15">
        <v>5.8925520000000002</v>
      </c>
      <c r="BU61" s="15">
        <v>5.5446650000000002</v>
      </c>
      <c r="BV61" s="15">
        <v>4.7629859999999997</v>
      </c>
      <c r="BW61" s="15">
        <v>5.0618350000000003</v>
      </c>
      <c r="BX61" s="16">
        <f>AVERAGE(C61:BW61)</f>
        <v>4.6034122191780815</v>
      </c>
      <c r="BY61" s="34" t="s">
        <v>100</v>
      </c>
      <c r="BZ61" s="35" t="s">
        <v>101</v>
      </c>
      <c r="CH61" s="5" t="str">
        <f>IF(CH49=CH55, "YES", "NO")</f>
        <v>YES</v>
      </c>
    </row>
    <row r="62" spans="1:86" ht="20" thickBot="1" x14ac:dyDescent="0.3">
      <c r="A62" s="75" t="s">
        <v>96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76"/>
      <c r="BT62" s="76"/>
      <c r="BU62" s="76"/>
      <c r="BV62" s="76"/>
      <c r="BW62" s="76"/>
      <c r="BY62" s="42">
        <f>BX70-BX71</f>
        <v>-1.1881440007091465E-2</v>
      </c>
      <c r="BZ62" s="43">
        <f>BX46*BY62</f>
        <v>-10.334790578155985</v>
      </c>
      <c r="CH62" s="77">
        <f>CH53/(CH52+CH53)</f>
        <v>5.0394833053248244E-3</v>
      </c>
    </row>
    <row r="63" spans="1:86" x14ac:dyDescent="0.2">
      <c r="A63" s="6" t="s">
        <v>1</v>
      </c>
      <c r="B63" s="78"/>
      <c r="C63" s="9" t="s">
        <v>2</v>
      </c>
      <c r="D63" s="9" t="s">
        <v>3</v>
      </c>
      <c r="E63" s="9" t="s">
        <v>4</v>
      </c>
      <c r="F63" s="9" t="s">
        <v>5</v>
      </c>
      <c r="G63" s="9" t="s">
        <v>6</v>
      </c>
      <c r="H63" s="9" t="s">
        <v>7</v>
      </c>
      <c r="I63" s="9" t="s">
        <v>8</v>
      </c>
      <c r="J63" s="9" t="s">
        <v>9</v>
      </c>
      <c r="K63" s="9" t="s">
        <v>10</v>
      </c>
      <c r="L63" s="9" t="s">
        <v>11</v>
      </c>
      <c r="M63" s="9" t="s">
        <v>12</v>
      </c>
      <c r="N63" s="9" t="s">
        <v>13</v>
      </c>
      <c r="O63" s="9" t="s">
        <v>14</v>
      </c>
      <c r="P63" s="9" t="s">
        <v>15</v>
      </c>
      <c r="Q63" s="9" t="s">
        <v>16</v>
      </c>
      <c r="R63" s="9" t="s">
        <v>17</v>
      </c>
      <c r="S63" s="9" t="s">
        <v>18</v>
      </c>
      <c r="T63" s="9" t="s">
        <v>19</v>
      </c>
      <c r="U63" s="9" t="s">
        <v>20</v>
      </c>
      <c r="V63" s="9" t="s">
        <v>21</v>
      </c>
      <c r="W63" s="9" t="s">
        <v>22</v>
      </c>
      <c r="X63" s="9" t="s">
        <v>23</v>
      </c>
      <c r="Y63" s="9" t="s">
        <v>24</v>
      </c>
      <c r="Z63" s="9" t="s">
        <v>25</v>
      </c>
      <c r="AA63" s="9" t="s">
        <v>26</v>
      </c>
      <c r="AB63" s="9" t="s">
        <v>27</v>
      </c>
      <c r="AC63" s="9" t="s">
        <v>28</v>
      </c>
      <c r="AD63" s="9" t="s">
        <v>29</v>
      </c>
      <c r="AE63" s="9" t="s">
        <v>30</v>
      </c>
      <c r="AF63" s="9" t="s">
        <v>31</v>
      </c>
      <c r="AG63" s="9" t="s">
        <v>32</v>
      </c>
      <c r="AH63" s="9" t="s">
        <v>33</v>
      </c>
      <c r="AI63" s="9" t="s">
        <v>34</v>
      </c>
      <c r="AJ63" s="9" t="s">
        <v>35</v>
      </c>
      <c r="AK63" s="9" t="s">
        <v>36</v>
      </c>
      <c r="AL63" s="9" t="s">
        <v>37</v>
      </c>
      <c r="AM63" s="9" t="s">
        <v>38</v>
      </c>
      <c r="AN63" s="9" t="s">
        <v>39</v>
      </c>
      <c r="AO63" s="9" t="s">
        <v>40</v>
      </c>
      <c r="AP63" s="9" t="s">
        <v>41</v>
      </c>
      <c r="AQ63" s="9" t="s">
        <v>42</v>
      </c>
      <c r="AR63" s="9" t="s">
        <v>43</v>
      </c>
      <c r="AS63" s="9" t="s">
        <v>44</v>
      </c>
      <c r="AT63" s="9" t="s">
        <v>45</v>
      </c>
      <c r="AU63" s="9" t="s">
        <v>46</v>
      </c>
      <c r="AV63" s="9" t="s">
        <v>47</v>
      </c>
      <c r="AW63" s="9" t="s">
        <v>48</v>
      </c>
      <c r="AX63" s="9" t="s">
        <v>49</v>
      </c>
      <c r="AY63" s="9" t="s">
        <v>50</v>
      </c>
      <c r="AZ63" s="9" t="s">
        <v>51</v>
      </c>
      <c r="BA63" s="9" t="s">
        <v>52</v>
      </c>
      <c r="BB63" s="9" t="s">
        <v>53</v>
      </c>
      <c r="BC63" s="9" t="s">
        <v>54</v>
      </c>
      <c r="BD63" s="9" t="s">
        <v>55</v>
      </c>
      <c r="BE63" s="9" t="s">
        <v>56</v>
      </c>
      <c r="BF63" s="9" t="s">
        <v>57</v>
      </c>
      <c r="BG63" s="9" t="s">
        <v>58</v>
      </c>
      <c r="BH63" s="9" t="s">
        <v>59</v>
      </c>
      <c r="BI63" s="9" t="s">
        <v>60</v>
      </c>
      <c r="BJ63" s="9" t="s">
        <v>61</v>
      </c>
      <c r="BK63" s="9" t="s">
        <v>62</v>
      </c>
      <c r="BL63" s="9" t="s">
        <v>63</v>
      </c>
      <c r="BM63" s="9" t="s">
        <v>64</v>
      </c>
      <c r="BN63" s="9" t="s">
        <v>65</v>
      </c>
      <c r="BO63" s="9" t="s">
        <v>66</v>
      </c>
      <c r="BP63" s="9" t="s">
        <v>67</v>
      </c>
      <c r="BQ63" s="9" t="s">
        <v>68</v>
      </c>
      <c r="BR63" s="9" t="s">
        <v>69</v>
      </c>
      <c r="BS63" s="9" t="s">
        <v>70</v>
      </c>
      <c r="BT63" s="9" t="s">
        <v>71</v>
      </c>
      <c r="BU63" s="9" t="s">
        <v>72</v>
      </c>
      <c r="BV63" s="9" t="s">
        <v>73</v>
      </c>
      <c r="BW63" s="9" t="s">
        <v>74</v>
      </c>
      <c r="BX63" s="10" t="s">
        <v>75</v>
      </c>
      <c r="BY63" s="45"/>
      <c r="BZ63" s="46"/>
      <c r="CH63" s="77">
        <f>CH59/(CH58+CH59)</f>
        <v>1.6807025626331112E-2</v>
      </c>
    </row>
    <row r="64" spans="1:86" x14ac:dyDescent="0.2">
      <c r="A64" s="12" t="s">
        <v>124</v>
      </c>
      <c r="B64" s="15"/>
      <c r="C64" s="74">
        <f t="shared" ref="C64:BN64" si="28">C66-C65</f>
        <v>1180.004244</v>
      </c>
      <c r="D64" s="74">
        <f t="shared" si="28"/>
        <v>640.05201399999999</v>
      </c>
      <c r="E64" s="74">
        <f t="shared" si="28"/>
        <v>705.52826400000004</v>
      </c>
      <c r="F64" s="74">
        <f t="shared" si="28"/>
        <v>697.890433999999</v>
      </c>
      <c r="G64" s="74">
        <f t="shared" si="28"/>
        <v>727.153548</v>
      </c>
      <c r="H64" s="74">
        <f t="shared" si="28"/>
        <v>626.83441299999993</v>
      </c>
      <c r="I64" s="74">
        <f t="shared" si="28"/>
        <v>812.38647200000003</v>
      </c>
      <c r="J64" s="74">
        <f t="shared" si="28"/>
        <v>1029.41439899999</v>
      </c>
      <c r="K64" s="74">
        <f t="shared" si="28"/>
        <v>927.98894599999903</v>
      </c>
      <c r="L64" s="74">
        <f t="shared" si="28"/>
        <v>969.00818899999001</v>
      </c>
      <c r="M64" s="74">
        <f t="shared" si="28"/>
        <v>920.39650600000004</v>
      </c>
      <c r="N64" s="74">
        <f t="shared" si="28"/>
        <v>1251.7874200000001</v>
      </c>
      <c r="O64" s="74">
        <f t="shared" si="28"/>
        <v>917.32969600000001</v>
      </c>
      <c r="P64" s="74">
        <f t="shared" si="28"/>
        <v>831.17713799999899</v>
      </c>
      <c r="Q64" s="74">
        <f t="shared" si="28"/>
        <v>864.54573900000003</v>
      </c>
      <c r="R64" s="74">
        <f t="shared" si="28"/>
        <v>709.25947199999905</v>
      </c>
      <c r="S64" s="74">
        <f t="shared" si="28"/>
        <v>750.57058299999994</v>
      </c>
      <c r="T64" s="74">
        <f t="shared" si="28"/>
        <v>628.46389499999998</v>
      </c>
      <c r="U64" s="74">
        <f t="shared" si="28"/>
        <v>693.47133499999995</v>
      </c>
      <c r="V64" s="74">
        <f t="shared" si="28"/>
        <v>691.47538099999997</v>
      </c>
      <c r="W64" s="74">
        <f t="shared" si="28"/>
        <v>722.94257599999992</v>
      </c>
      <c r="X64" s="74">
        <f t="shared" si="28"/>
        <v>729.07262400000002</v>
      </c>
      <c r="Y64" s="74">
        <f t="shared" si="28"/>
        <v>988.16601899999989</v>
      </c>
      <c r="Z64" s="74">
        <f t="shared" si="28"/>
        <v>784.76426099999901</v>
      </c>
      <c r="AA64" s="74">
        <f t="shared" si="28"/>
        <v>847.94347399999901</v>
      </c>
      <c r="AB64" s="74">
        <f t="shared" si="28"/>
        <v>828.198206999999</v>
      </c>
      <c r="AC64" s="74">
        <f t="shared" si="28"/>
        <v>658.96057699999994</v>
      </c>
      <c r="AD64" s="74">
        <f t="shared" si="28"/>
        <v>837.43016999999998</v>
      </c>
      <c r="AE64" s="74">
        <f t="shared" si="28"/>
        <v>1117.4285679999998</v>
      </c>
      <c r="AF64" s="74">
        <f t="shared" si="28"/>
        <v>629.97732599999995</v>
      </c>
      <c r="AG64" s="74">
        <f t="shared" si="28"/>
        <v>721.16970299999991</v>
      </c>
      <c r="AH64" s="74">
        <f t="shared" si="28"/>
        <v>785.90806899999995</v>
      </c>
      <c r="AI64" s="74">
        <f t="shared" si="28"/>
        <v>799.27136499999995</v>
      </c>
      <c r="AJ64" s="74">
        <f t="shared" si="28"/>
        <v>756.539222</v>
      </c>
      <c r="AK64" s="74">
        <f t="shared" si="28"/>
        <v>760.22121200000004</v>
      </c>
      <c r="AL64" s="74">
        <f t="shared" si="28"/>
        <v>980.44965499999</v>
      </c>
      <c r="AM64" s="74">
        <f t="shared" si="28"/>
        <v>771.50756000000001</v>
      </c>
      <c r="AN64" s="74">
        <f t="shared" si="28"/>
        <v>699.96660699999904</v>
      </c>
      <c r="AO64" s="74">
        <f t="shared" si="28"/>
        <v>1108.8342769999999</v>
      </c>
      <c r="AP64" s="74">
        <f t="shared" si="28"/>
        <v>695.516932</v>
      </c>
      <c r="AQ64" s="74">
        <f t="shared" si="28"/>
        <v>871.963301</v>
      </c>
      <c r="AR64" s="74">
        <f t="shared" si="28"/>
        <v>884.38425799999993</v>
      </c>
      <c r="AS64" s="74">
        <f t="shared" si="28"/>
        <v>694.67174599999998</v>
      </c>
      <c r="AT64" s="74">
        <f t="shared" si="28"/>
        <v>744.02915199999995</v>
      </c>
      <c r="AU64" s="74">
        <f t="shared" si="28"/>
        <v>820.54266899999993</v>
      </c>
      <c r="AV64" s="74">
        <f t="shared" si="28"/>
        <v>903.09789899999998</v>
      </c>
      <c r="AW64" s="74">
        <f t="shared" si="28"/>
        <v>794.63717799999995</v>
      </c>
      <c r="AX64" s="74">
        <f t="shared" si="28"/>
        <v>839.73224700000003</v>
      </c>
      <c r="AY64" s="74">
        <f t="shared" si="28"/>
        <v>905.40150500000004</v>
      </c>
      <c r="AZ64" s="74">
        <f t="shared" si="28"/>
        <v>797.63379299999997</v>
      </c>
      <c r="BA64" s="74">
        <f t="shared" si="28"/>
        <v>899.11129100000005</v>
      </c>
      <c r="BB64" s="74">
        <f t="shared" si="28"/>
        <v>658.16790000000003</v>
      </c>
      <c r="BC64" s="74">
        <f t="shared" si="28"/>
        <v>657.61969599999998</v>
      </c>
      <c r="BD64" s="74">
        <f t="shared" si="28"/>
        <v>722.16390100000001</v>
      </c>
      <c r="BE64" s="74">
        <f t="shared" si="28"/>
        <v>693.20573799999909</v>
      </c>
      <c r="BF64" s="74">
        <f t="shared" si="28"/>
        <v>743.90298099999995</v>
      </c>
      <c r="BG64" s="74">
        <f t="shared" si="28"/>
        <v>703.28896299999906</v>
      </c>
      <c r="BH64" s="74">
        <f t="shared" si="28"/>
        <v>720.94883700000003</v>
      </c>
      <c r="BI64" s="74">
        <f t="shared" si="28"/>
        <v>828.57165499999996</v>
      </c>
      <c r="BJ64" s="74">
        <f t="shared" si="28"/>
        <v>804.83666400000004</v>
      </c>
      <c r="BK64" s="74">
        <f t="shared" si="28"/>
        <v>807.65671999999995</v>
      </c>
      <c r="BL64" s="74">
        <f t="shared" si="28"/>
        <v>882.60591699999998</v>
      </c>
      <c r="BM64" s="74">
        <f t="shared" si="28"/>
        <v>924.40062599999999</v>
      </c>
      <c r="BN64" s="74">
        <f t="shared" si="28"/>
        <v>868.47080399999993</v>
      </c>
      <c r="BO64" s="74">
        <f t="shared" ref="BO64:BX64" si="29">BO66-BO65</f>
        <v>913.226575999999</v>
      </c>
      <c r="BP64" s="74">
        <f t="shared" si="29"/>
        <v>874.16028099999994</v>
      </c>
      <c r="BQ64" s="74">
        <f t="shared" si="29"/>
        <v>819.93703499999901</v>
      </c>
      <c r="BR64" s="74">
        <f t="shared" si="29"/>
        <v>857.39203899999904</v>
      </c>
      <c r="BS64" s="74">
        <f t="shared" si="29"/>
        <v>729.43678</v>
      </c>
      <c r="BT64" s="74">
        <f t="shared" si="29"/>
        <v>989.38284399999986</v>
      </c>
      <c r="BU64" s="74">
        <f t="shared" si="29"/>
        <v>904.90937099999996</v>
      </c>
      <c r="BV64" s="74">
        <f t="shared" si="29"/>
        <v>924.97550199999898</v>
      </c>
      <c r="BW64" s="74">
        <f t="shared" si="29"/>
        <v>887.50183099999902</v>
      </c>
      <c r="BX64" s="16">
        <f>AVERAGE(C64:BW64)</f>
        <v>820.15033139725995</v>
      </c>
      <c r="BY64" s="45"/>
      <c r="BZ64" s="46"/>
    </row>
    <row r="65" spans="1:86" x14ac:dyDescent="0.2">
      <c r="A65" s="12" t="s">
        <v>125</v>
      </c>
      <c r="B65" s="15" t="s">
        <v>87</v>
      </c>
      <c r="C65" s="15">
        <v>46.649191000000002</v>
      </c>
      <c r="D65" s="15">
        <v>32.086821</v>
      </c>
      <c r="E65" s="15">
        <v>35.908870999999998</v>
      </c>
      <c r="F65" s="15">
        <v>40.110812000000003</v>
      </c>
      <c r="G65" s="15">
        <v>31.585203</v>
      </c>
      <c r="H65" s="15">
        <v>24.744353</v>
      </c>
      <c r="I65" s="15">
        <v>43.193539999999999</v>
      </c>
      <c r="J65" s="15">
        <v>38.233302000000002</v>
      </c>
      <c r="K65" s="15">
        <v>37.416350999999999</v>
      </c>
      <c r="L65" s="15">
        <v>37.410024</v>
      </c>
      <c r="M65" s="15">
        <v>39.164907999999997</v>
      </c>
      <c r="N65" s="15">
        <v>49.073014999999998</v>
      </c>
      <c r="O65" s="15">
        <v>37.553089</v>
      </c>
      <c r="P65" s="15">
        <v>33.243689000000003</v>
      </c>
      <c r="Q65" s="15">
        <v>40.711655</v>
      </c>
      <c r="R65" s="15">
        <v>33.771903000000002</v>
      </c>
      <c r="S65" s="15">
        <v>35.077883</v>
      </c>
      <c r="T65" s="15">
        <v>29.553135000000001</v>
      </c>
      <c r="U65" s="15">
        <v>31.343018000000001</v>
      </c>
      <c r="V65" s="15">
        <v>30.576719000000001</v>
      </c>
      <c r="W65" s="15">
        <v>32.870614000000003</v>
      </c>
      <c r="X65" s="15">
        <v>29.632981000000001</v>
      </c>
      <c r="Y65" s="15">
        <v>43.880217000000002</v>
      </c>
      <c r="Z65" s="15">
        <v>31.501705000000001</v>
      </c>
      <c r="AA65" s="15">
        <v>35.728886000000003</v>
      </c>
      <c r="AB65" s="15">
        <v>35.754815000000001</v>
      </c>
      <c r="AC65" s="15">
        <v>25.953348999999999</v>
      </c>
      <c r="AD65" s="15">
        <v>34.695953000000003</v>
      </c>
      <c r="AE65" s="15">
        <v>48.681691999999998</v>
      </c>
      <c r="AF65" s="15">
        <v>27.994057000000002</v>
      </c>
      <c r="AG65" s="15">
        <v>34.742601999999998</v>
      </c>
      <c r="AH65" s="15">
        <v>34.969279999999998</v>
      </c>
      <c r="AI65" s="15">
        <v>35.854722000000002</v>
      </c>
      <c r="AJ65" s="15">
        <v>30.242854000000001</v>
      </c>
      <c r="AK65" s="15">
        <v>33.772753999999999</v>
      </c>
      <c r="AL65" s="15">
        <v>38.380298000000003</v>
      </c>
      <c r="AM65" s="15">
        <v>34.263776</v>
      </c>
      <c r="AN65" s="15">
        <v>33.064532999999997</v>
      </c>
      <c r="AO65" s="15">
        <v>46.294995</v>
      </c>
      <c r="AP65" s="15">
        <v>30.148278999999999</v>
      </c>
      <c r="AQ65" s="15">
        <v>39.037368999999998</v>
      </c>
      <c r="AR65" s="15">
        <v>37.567582999999999</v>
      </c>
      <c r="AS65" s="15">
        <v>31.352938999999999</v>
      </c>
      <c r="AT65" s="15">
        <v>34.651605000000004</v>
      </c>
      <c r="AU65" s="15">
        <v>36.031871000000002</v>
      </c>
      <c r="AV65" s="15">
        <v>40.457991</v>
      </c>
      <c r="AW65" s="15">
        <v>16.656696</v>
      </c>
      <c r="AX65" s="15">
        <v>35.47034</v>
      </c>
      <c r="AY65" s="15">
        <v>40.931345999999998</v>
      </c>
      <c r="AZ65" s="15">
        <v>36.250926999999997</v>
      </c>
      <c r="BA65" s="15">
        <v>35.780186</v>
      </c>
      <c r="BB65" s="15">
        <v>28.582912</v>
      </c>
      <c r="BC65" s="15">
        <v>30.627503000000001</v>
      </c>
      <c r="BD65" s="15">
        <v>32.524155</v>
      </c>
      <c r="BE65" s="15">
        <v>30.887989999999999</v>
      </c>
      <c r="BF65" s="15">
        <v>31.057167</v>
      </c>
      <c r="BG65" s="15">
        <v>31.529516000000001</v>
      </c>
      <c r="BH65" s="15">
        <v>30.795795999999999</v>
      </c>
      <c r="BI65" s="15">
        <v>38.856836999999999</v>
      </c>
      <c r="BJ65" s="15">
        <v>37.318275</v>
      </c>
      <c r="BK65" s="15">
        <v>36.915142000000003</v>
      </c>
      <c r="BL65" s="15">
        <v>39.984473000000001</v>
      </c>
      <c r="BM65" s="15">
        <v>39.406249000000003</v>
      </c>
      <c r="BN65" s="15">
        <v>38.518227000000003</v>
      </c>
      <c r="BO65" s="15">
        <v>41.914256999999999</v>
      </c>
      <c r="BP65" s="15">
        <v>35.433379000000002</v>
      </c>
      <c r="BQ65" s="15">
        <v>35.702050999999997</v>
      </c>
      <c r="BR65" s="15">
        <v>35.424455999999999</v>
      </c>
      <c r="BS65" s="15">
        <v>29.193992999999999</v>
      </c>
      <c r="BT65" s="15">
        <v>45.753857000000004</v>
      </c>
      <c r="BU65" s="15">
        <v>42.362380000000002</v>
      </c>
      <c r="BV65" s="15">
        <v>37.289656999999998</v>
      </c>
      <c r="BW65" s="15">
        <v>36.914709000000002</v>
      </c>
      <c r="BX65" s="16">
        <f>AVERAGE(C65:BW65)</f>
        <v>35.575584630137001</v>
      </c>
      <c r="BY65" s="42">
        <f>BX73-BX74</f>
        <v>9.1509249383756389E-3</v>
      </c>
      <c r="BZ65" s="43">
        <f>BX46*BY65</f>
        <v>7.9597163961684059</v>
      </c>
      <c r="CH65" s="77">
        <f>CH51/(CH52+CH53)</f>
        <v>5.0076183226177615E-2</v>
      </c>
    </row>
    <row r="66" spans="1:86" x14ac:dyDescent="0.2">
      <c r="A66" s="12" t="s">
        <v>126</v>
      </c>
      <c r="B66" s="15"/>
      <c r="C66" s="15">
        <v>1226.6534349999999</v>
      </c>
      <c r="D66" s="15">
        <v>672.13883499999997</v>
      </c>
      <c r="E66" s="15">
        <v>741.43713500000001</v>
      </c>
      <c r="F66" s="15">
        <v>738.00124599999901</v>
      </c>
      <c r="G66" s="15">
        <v>758.73875099999998</v>
      </c>
      <c r="H66" s="15">
        <v>651.57876599999997</v>
      </c>
      <c r="I66" s="15">
        <v>855.58001200000001</v>
      </c>
      <c r="J66" s="15">
        <v>1067.6477009999901</v>
      </c>
      <c r="K66" s="15">
        <v>965.405296999999</v>
      </c>
      <c r="L66" s="15">
        <v>1006.41821299999</v>
      </c>
      <c r="M66" s="15">
        <v>959.56141400000001</v>
      </c>
      <c r="N66" s="15">
        <v>1300.8604350000001</v>
      </c>
      <c r="O66" s="15">
        <v>954.88278500000001</v>
      </c>
      <c r="P66" s="15">
        <v>864.42082699999901</v>
      </c>
      <c r="Q66" s="15">
        <v>905.25739399999998</v>
      </c>
      <c r="R66" s="15">
        <v>743.031374999999</v>
      </c>
      <c r="S66" s="15">
        <v>785.64846599999998</v>
      </c>
      <c r="T66" s="15">
        <v>658.01702999999998</v>
      </c>
      <c r="U66" s="15">
        <v>724.81435299999998</v>
      </c>
      <c r="V66" s="15">
        <v>722.0521</v>
      </c>
      <c r="W66" s="15">
        <v>755.81318999999996</v>
      </c>
      <c r="X66" s="15">
        <v>758.70560499999999</v>
      </c>
      <c r="Y66" s="15">
        <v>1032.0462359999999</v>
      </c>
      <c r="Z66" s="15">
        <v>816.26596599999903</v>
      </c>
      <c r="AA66" s="15">
        <v>883.672359999999</v>
      </c>
      <c r="AB66" s="15">
        <v>863.95302199999901</v>
      </c>
      <c r="AC66" s="15">
        <v>684.91392599999995</v>
      </c>
      <c r="AD66" s="15">
        <v>872.12612300000001</v>
      </c>
      <c r="AE66" s="15">
        <v>1166.1102599999999</v>
      </c>
      <c r="AF66" s="15">
        <v>657.97138299999995</v>
      </c>
      <c r="AG66" s="15">
        <v>755.91230499999995</v>
      </c>
      <c r="AH66" s="15">
        <v>820.87734899999998</v>
      </c>
      <c r="AI66" s="15">
        <v>835.12608699999998</v>
      </c>
      <c r="AJ66" s="15">
        <v>786.78207599999996</v>
      </c>
      <c r="AK66" s="15">
        <v>793.993966</v>
      </c>
      <c r="AL66" s="15">
        <v>1018.82995299999</v>
      </c>
      <c r="AM66" s="15">
        <v>805.77133600000002</v>
      </c>
      <c r="AN66" s="15">
        <v>733.03113999999903</v>
      </c>
      <c r="AO66" s="15">
        <v>1155.1292719999999</v>
      </c>
      <c r="AP66" s="15">
        <v>725.665211</v>
      </c>
      <c r="AQ66" s="15">
        <v>911.00067000000001</v>
      </c>
      <c r="AR66" s="15">
        <v>921.95184099999994</v>
      </c>
      <c r="AS66" s="15">
        <v>726.02468499999998</v>
      </c>
      <c r="AT66" s="15">
        <v>778.68075699999997</v>
      </c>
      <c r="AU66" s="15">
        <v>856.57453999999996</v>
      </c>
      <c r="AV66" s="15">
        <v>943.55588999999998</v>
      </c>
      <c r="AW66" s="15">
        <v>811.29387399999996</v>
      </c>
      <c r="AX66" s="15">
        <v>875.20258699999999</v>
      </c>
      <c r="AY66" s="15">
        <v>946.33285100000001</v>
      </c>
      <c r="AZ66" s="15">
        <v>833.88472000000002</v>
      </c>
      <c r="BA66" s="15">
        <v>934.89147700000001</v>
      </c>
      <c r="BB66" s="15">
        <v>686.750812</v>
      </c>
      <c r="BC66" s="15">
        <v>688.24719900000002</v>
      </c>
      <c r="BD66" s="15">
        <v>754.68805599999996</v>
      </c>
      <c r="BE66" s="15">
        <v>724.09372799999903</v>
      </c>
      <c r="BF66" s="15">
        <v>774.960148</v>
      </c>
      <c r="BG66" s="15">
        <v>734.818478999999</v>
      </c>
      <c r="BH66" s="15">
        <v>751.74463300000002</v>
      </c>
      <c r="BI66" s="15">
        <v>867.42849200000001</v>
      </c>
      <c r="BJ66" s="15">
        <v>842.15493900000001</v>
      </c>
      <c r="BK66" s="15">
        <v>844.57186200000001</v>
      </c>
      <c r="BL66" s="15">
        <v>922.59038999999996</v>
      </c>
      <c r="BM66" s="15">
        <v>963.80687499999999</v>
      </c>
      <c r="BN66" s="15">
        <v>906.98903099999995</v>
      </c>
      <c r="BO66" s="15">
        <v>955.14083299999902</v>
      </c>
      <c r="BP66" s="15">
        <v>909.59366</v>
      </c>
      <c r="BQ66" s="15">
        <v>855.639085999999</v>
      </c>
      <c r="BR66" s="15">
        <v>892.81649499999901</v>
      </c>
      <c r="BS66" s="15">
        <v>758.63077299999998</v>
      </c>
      <c r="BT66" s="15">
        <v>1035.1367009999999</v>
      </c>
      <c r="BU66" s="15">
        <v>947.27175099999999</v>
      </c>
      <c r="BV66" s="15">
        <v>962.26515899999902</v>
      </c>
      <c r="BW66" s="15">
        <v>924.41653999999903</v>
      </c>
      <c r="BX66" s="16">
        <f>AVERAGE(C66:BW66)</f>
        <v>855.72591602739658</v>
      </c>
      <c r="BY66" s="45"/>
      <c r="BZ66" s="46"/>
      <c r="CH66" s="77">
        <f>CH57/(CH58+CH59)</f>
        <v>4.0776815014601259E-2</v>
      </c>
    </row>
    <row r="67" spans="1:86" ht="17" thickBot="1" x14ac:dyDescent="0.25">
      <c r="A67" s="18" t="s">
        <v>127</v>
      </c>
      <c r="B67" s="61"/>
      <c r="C67" s="15">
        <v>21.336407000000001</v>
      </c>
      <c r="D67" s="15">
        <v>12.333316999999999</v>
      </c>
      <c r="E67" s="15">
        <v>15.141800999999999</v>
      </c>
      <c r="F67" s="15">
        <v>14.096696</v>
      </c>
      <c r="G67" s="15">
        <v>13.653129</v>
      </c>
      <c r="H67" s="15">
        <v>11.064870000000001</v>
      </c>
      <c r="I67" s="15">
        <v>16.129263999999999</v>
      </c>
      <c r="J67" s="15">
        <v>18.203351000000001</v>
      </c>
      <c r="K67" s="15">
        <v>17.356660999999999</v>
      </c>
      <c r="L67" s="15">
        <v>17.312639000000001</v>
      </c>
      <c r="M67" s="15">
        <v>15.603046000000001</v>
      </c>
      <c r="N67" s="15">
        <v>21.943369000000001</v>
      </c>
      <c r="O67" s="15">
        <v>16.304490999999999</v>
      </c>
      <c r="P67" s="15">
        <v>14.274623</v>
      </c>
      <c r="Q67" s="15">
        <v>16.171008</v>
      </c>
      <c r="R67" s="15">
        <v>13.497560999999999</v>
      </c>
      <c r="S67" s="15">
        <v>14.186655999999999</v>
      </c>
      <c r="T67" s="15">
        <v>11.340616000000001</v>
      </c>
      <c r="U67" s="15">
        <v>13.501117000000001</v>
      </c>
      <c r="V67" s="15">
        <v>12.621130000000001</v>
      </c>
      <c r="W67" s="15">
        <v>14.520568000000001</v>
      </c>
      <c r="X67" s="15">
        <v>13.637345</v>
      </c>
      <c r="Y67" s="15">
        <v>19.464966</v>
      </c>
      <c r="Z67" s="15">
        <v>13.853899999999999</v>
      </c>
      <c r="AA67" s="15">
        <v>16.00827</v>
      </c>
      <c r="AB67" s="15">
        <v>14.656219999999999</v>
      </c>
      <c r="AC67" s="15">
        <v>11.80208</v>
      </c>
      <c r="AD67" s="15">
        <v>15.801123</v>
      </c>
      <c r="AE67" s="15">
        <v>19.097753999999998</v>
      </c>
      <c r="AF67" s="15">
        <v>11.548325</v>
      </c>
      <c r="AG67" s="15">
        <v>13.744975</v>
      </c>
      <c r="AH67" s="15">
        <v>14.368899000000001</v>
      </c>
      <c r="AI67" s="15">
        <v>14.710324999999999</v>
      </c>
      <c r="AJ67" s="15">
        <v>13.633991999999999</v>
      </c>
      <c r="AK67" s="15">
        <v>14.450379999999999</v>
      </c>
      <c r="AL67" s="15">
        <v>17.428749</v>
      </c>
      <c r="AM67" s="15">
        <v>14.633246</v>
      </c>
      <c r="AN67" s="15">
        <v>13.74254</v>
      </c>
      <c r="AO67" s="15">
        <v>19.933672000000001</v>
      </c>
      <c r="AP67" s="15">
        <v>12.307539</v>
      </c>
      <c r="AQ67" s="15">
        <v>16.22653</v>
      </c>
      <c r="AR67" s="15">
        <v>16.228669</v>
      </c>
      <c r="AS67" s="15">
        <v>13.030231000000001</v>
      </c>
      <c r="AT67" s="15">
        <v>14.014229</v>
      </c>
      <c r="AU67" s="15">
        <v>14.755710000000001</v>
      </c>
      <c r="AV67" s="15">
        <v>15.589674</v>
      </c>
      <c r="AW67" s="15">
        <v>10.767518000000001</v>
      </c>
      <c r="AX67" s="15">
        <v>14.254104999999999</v>
      </c>
      <c r="AY67" s="15">
        <v>17.181208999999999</v>
      </c>
      <c r="AZ67" s="15">
        <v>14.439946000000001</v>
      </c>
      <c r="BA67" s="15">
        <v>17.020012999999999</v>
      </c>
      <c r="BB67" s="15">
        <v>11.995227999999999</v>
      </c>
      <c r="BC67" s="15">
        <v>12.419869</v>
      </c>
      <c r="BD67" s="15">
        <v>13.263883999999999</v>
      </c>
      <c r="BE67" s="15">
        <v>12.121966</v>
      </c>
      <c r="BF67" s="15">
        <v>12.411303999999999</v>
      </c>
      <c r="BG67" s="15">
        <v>12.441043000000001</v>
      </c>
      <c r="BH67" s="15">
        <v>13.352447</v>
      </c>
      <c r="BI67" s="15">
        <v>16.718237999999999</v>
      </c>
      <c r="BJ67" s="15">
        <v>14.207649</v>
      </c>
      <c r="BK67" s="15">
        <v>14.025204</v>
      </c>
      <c r="BL67" s="15">
        <v>17.378404</v>
      </c>
      <c r="BM67" s="15">
        <v>15.961759000000001</v>
      </c>
      <c r="BN67" s="15">
        <v>15.622712999999999</v>
      </c>
      <c r="BO67" s="15">
        <v>15.993473</v>
      </c>
      <c r="BP67" s="15">
        <v>15.631206000000001</v>
      </c>
      <c r="BQ67" s="15">
        <v>14.682944000000001</v>
      </c>
      <c r="BR67" s="15">
        <v>14.551905</v>
      </c>
      <c r="BS67" s="15">
        <v>12.282467</v>
      </c>
      <c r="BT67" s="15">
        <v>20.484404999999999</v>
      </c>
      <c r="BU67" s="15">
        <v>16.810437</v>
      </c>
      <c r="BV67" s="15">
        <v>17.885328999999999</v>
      </c>
      <c r="BW67" s="15">
        <v>16.148938000000001</v>
      </c>
      <c r="BX67" s="16">
        <f>AVERAGE(C67:BW67)</f>
        <v>15.004318712328768</v>
      </c>
      <c r="BY67" s="15"/>
      <c r="BZ67" s="48"/>
    </row>
    <row r="68" spans="1:86" ht="20" thickBot="1" x14ac:dyDescent="0.3">
      <c r="A68" s="79" t="s">
        <v>98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Y68" s="42">
        <f>BX76-BX77</f>
        <v>1.1881440007091348E-2</v>
      </c>
      <c r="BZ68" s="43">
        <f>BX60*BY68</f>
        <v>10.269356943781075</v>
      </c>
      <c r="CH68" s="77">
        <f>CH52/(CH53+CH52)</f>
        <v>0.99496051669467511</v>
      </c>
    </row>
    <row r="69" spans="1:86" x14ac:dyDescent="0.2">
      <c r="A69" s="80" t="s">
        <v>99</v>
      </c>
      <c r="B69" s="81"/>
      <c r="C69" s="82" t="str">
        <f t="shared" ref="C69:BN69" si="30">IF(C57=C63, "YES", "NO")</f>
        <v>YES</v>
      </c>
      <c r="D69" s="82" t="str">
        <f t="shared" si="30"/>
        <v>YES</v>
      </c>
      <c r="E69" s="82" t="str">
        <f t="shared" si="30"/>
        <v>YES</v>
      </c>
      <c r="F69" s="82" t="str">
        <f t="shared" si="30"/>
        <v>YES</v>
      </c>
      <c r="G69" s="82" t="str">
        <f t="shared" si="30"/>
        <v>YES</v>
      </c>
      <c r="H69" s="82" t="str">
        <f t="shared" si="30"/>
        <v>YES</v>
      </c>
      <c r="I69" s="82" t="str">
        <f t="shared" si="30"/>
        <v>YES</v>
      </c>
      <c r="J69" s="82" t="str">
        <f t="shared" si="30"/>
        <v>YES</v>
      </c>
      <c r="K69" s="82" t="str">
        <f t="shared" si="30"/>
        <v>YES</v>
      </c>
      <c r="L69" s="82" t="str">
        <f t="shared" si="30"/>
        <v>YES</v>
      </c>
      <c r="M69" s="82" t="str">
        <f t="shared" si="30"/>
        <v>YES</v>
      </c>
      <c r="N69" s="82" t="str">
        <f t="shared" si="30"/>
        <v>YES</v>
      </c>
      <c r="O69" s="82" t="str">
        <f t="shared" si="30"/>
        <v>YES</v>
      </c>
      <c r="P69" s="82" t="str">
        <f t="shared" si="30"/>
        <v>YES</v>
      </c>
      <c r="Q69" s="82" t="str">
        <f t="shared" si="30"/>
        <v>YES</v>
      </c>
      <c r="R69" s="82" t="str">
        <f t="shared" si="30"/>
        <v>YES</v>
      </c>
      <c r="S69" s="82" t="str">
        <f t="shared" si="30"/>
        <v>YES</v>
      </c>
      <c r="T69" s="82" t="str">
        <f t="shared" si="30"/>
        <v>YES</v>
      </c>
      <c r="U69" s="82" t="str">
        <f t="shared" si="30"/>
        <v>YES</v>
      </c>
      <c r="V69" s="82" t="str">
        <f t="shared" si="30"/>
        <v>YES</v>
      </c>
      <c r="W69" s="82" t="str">
        <f t="shared" si="30"/>
        <v>YES</v>
      </c>
      <c r="X69" s="82" t="str">
        <f t="shared" si="30"/>
        <v>YES</v>
      </c>
      <c r="Y69" s="82" t="str">
        <f t="shared" si="30"/>
        <v>YES</v>
      </c>
      <c r="Z69" s="82" t="str">
        <f t="shared" si="30"/>
        <v>YES</v>
      </c>
      <c r="AA69" s="82" t="str">
        <f t="shared" si="30"/>
        <v>YES</v>
      </c>
      <c r="AB69" s="82" t="str">
        <f t="shared" si="30"/>
        <v>YES</v>
      </c>
      <c r="AC69" s="82" t="str">
        <f t="shared" si="30"/>
        <v>YES</v>
      </c>
      <c r="AD69" s="82" t="str">
        <f t="shared" si="30"/>
        <v>YES</v>
      </c>
      <c r="AE69" s="82" t="str">
        <f t="shared" si="30"/>
        <v>YES</v>
      </c>
      <c r="AF69" s="82" t="str">
        <f t="shared" si="30"/>
        <v>YES</v>
      </c>
      <c r="AG69" s="82" t="str">
        <f t="shared" si="30"/>
        <v>YES</v>
      </c>
      <c r="AH69" s="82" t="str">
        <f t="shared" si="30"/>
        <v>YES</v>
      </c>
      <c r="AI69" s="82" t="str">
        <f t="shared" si="30"/>
        <v>YES</v>
      </c>
      <c r="AJ69" s="82" t="str">
        <f t="shared" si="30"/>
        <v>YES</v>
      </c>
      <c r="AK69" s="82" t="str">
        <f t="shared" si="30"/>
        <v>YES</v>
      </c>
      <c r="AL69" s="82" t="str">
        <f t="shared" si="30"/>
        <v>YES</v>
      </c>
      <c r="AM69" s="82" t="str">
        <f t="shared" si="30"/>
        <v>YES</v>
      </c>
      <c r="AN69" s="82" t="str">
        <f t="shared" si="30"/>
        <v>YES</v>
      </c>
      <c r="AO69" s="82" t="str">
        <f t="shared" si="30"/>
        <v>YES</v>
      </c>
      <c r="AP69" s="82" t="str">
        <f t="shared" si="30"/>
        <v>YES</v>
      </c>
      <c r="AQ69" s="82" t="str">
        <f t="shared" si="30"/>
        <v>YES</v>
      </c>
      <c r="AR69" s="82" t="str">
        <f t="shared" si="30"/>
        <v>YES</v>
      </c>
      <c r="AS69" s="82" t="str">
        <f t="shared" si="30"/>
        <v>YES</v>
      </c>
      <c r="AT69" s="82" t="str">
        <f t="shared" si="30"/>
        <v>YES</v>
      </c>
      <c r="AU69" s="82" t="str">
        <f t="shared" si="30"/>
        <v>YES</v>
      </c>
      <c r="AV69" s="82" t="str">
        <f t="shared" si="30"/>
        <v>YES</v>
      </c>
      <c r="AW69" s="82" t="str">
        <f t="shared" si="30"/>
        <v>YES</v>
      </c>
      <c r="AX69" s="82" t="str">
        <f t="shared" si="30"/>
        <v>YES</v>
      </c>
      <c r="AY69" s="82" t="str">
        <f t="shared" si="30"/>
        <v>YES</v>
      </c>
      <c r="AZ69" s="82" t="str">
        <f t="shared" si="30"/>
        <v>YES</v>
      </c>
      <c r="BA69" s="82" t="str">
        <f t="shared" si="30"/>
        <v>YES</v>
      </c>
      <c r="BB69" s="82" t="str">
        <f t="shared" si="30"/>
        <v>YES</v>
      </c>
      <c r="BC69" s="82" t="str">
        <f t="shared" si="30"/>
        <v>YES</v>
      </c>
      <c r="BD69" s="82" t="str">
        <f t="shared" si="30"/>
        <v>YES</v>
      </c>
      <c r="BE69" s="82" t="str">
        <f t="shared" si="30"/>
        <v>YES</v>
      </c>
      <c r="BF69" s="82" t="str">
        <f t="shared" si="30"/>
        <v>YES</v>
      </c>
      <c r="BG69" s="82" t="str">
        <f t="shared" si="30"/>
        <v>YES</v>
      </c>
      <c r="BH69" s="82" t="str">
        <f t="shared" si="30"/>
        <v>YES</v>
      </c>
      <c r="BI69" s="82" t="str">
        <f t="shared" si="30"/>
        <v>YES</v>
      </c>
      <c r="BJ69" s="82" t="str">
        <f t="shared" si="30"/>
        <v>YES</v>
      </c>
      <c r="BK69" s="82" t="str">
        <f t="shared" si="30"/>
        <v>YES</v>
      </c>
      <c r="BL69" s="82" t="str">
        <f t="shared" si="30"/>
        <v>YES</v>
      </c>
      <c r="BM69" s="82" t="str">
        <f t="shared" si="30"/>
        <v>YES</v>
      </c>
      <c r="BN69" s="82" t="str">
        <f t="shared" si="30"/>
        <v>YES</v>
      </c>
      <c r="BO69" s="82" t="str">
        <f t="shared" ref="BO69:BX69" si="31">IF(BO57=BO63, "YES", "NO")</f>
        <v>YES</v>
      </c>
      <c r="BP69" s="82" t="str">
        <f t="shared" si="31"/>
        <v>YES</v>
      </c>
      <c r="BQ69" s="82" t="str">
        <f t="shared" si="31"/>
        <v>YES</v>
      </c>
      <c r="BR69" s="82" t="str">
        <f t="shared" si="31"/>
        <v>YES</v>
      </c>
      <c r="BS69" s="82" t="str">
        <f t="shared" si="31"/>
        <v>YES</v>
      </c>
      <c r="BT69" s="82" t="str">
        <f t="shared" si="31"/>
        <v>YES</v>
      </c>
      <c r="BU69" s="82" t="str">
        <f t="shared" si="31"/>
        <v>YES</v>
      </c>
      <c r="BV69" s="82" t="str">
        <f t="shared" si="31"/>
        <v>YES</v>
      </c>
      <c r="BW69" s="82" t="str">
        <f t="shared" si="31"/>
        <v>YES</v>
      </c>
      <c r="BX69" s="83" t="s">
        <v>75</v>
      </c>
      <c r="BY69" s="45"/>
      <c r="BZ69" s="46"/>
      <c r="CH69" s="77">
        <f>CH58/(CH59+CH58)</f>
        <v>0.98319297437366893</v>
      </c>
    </row>
    <row r="70" spans="1:86" x14ac:dyDescent="0.2">
      <c r="A70" s="37" t="s">
        <v>128</v>
      </c>
      <c r="B70" s="29" t="s">
        <v>129</v>
      </c>
      <c r="C70" s="84">
        <f t="shared" ref="C70:BN70" si="32">C61/(C60+C61)</f>
        <v>4.797700107929492E-3</v>
      </c>
      <c r="D70" s="84">
        <f t="shared" si="32"/>
        <v>5.6909306364316117E-3</v>
      </c>
      <c r="E70" s="84">
        <f t="shared" si="32"/>
        <v>5.7072669477053325E-3</v>
      </c>
      <c r="F70" s="84">
        <f t="shared" si="32"/>
        <v>6.0255767809956019E-3</v>
      </c>
      <c r="G70" s="84">
        <f t="shared" si="32"/>
        <v>5.4159593854098209E-3</v>
      </c>
      <c r="H70" s="84">
        <f t="shared" si="32"/>
        <v>4.7444945867269874E-3</v>
      </c>
      <c r="I70" s="84">
        <f t="shared" si="32"/>
        <v>5.4277785061589657E-3</v>
      </c>
      <c r="J70" s="84">
        <f t="shared" si="32"/>
        <v>4.858847575279132E-3</v>
      </c>
      <c r="K70" s="84">
        <f t="shared" si="32"/>
        <v>5.4134753559643041E-3</v>
      </c>
      <c r="L70" s="84">
        <f t="shared" si="32"/>
        <v>4.9534614520720353E-3</v>
      </c>
      <c r="M70" s="84">
        <f t="shared" si="32"/>
        <v>5.7234686600879684E-3</v>
      </c>
      <c r="N70" s="84">
        <f t="shared" si="32"/>
        <v>4.8719188310005481E-3</v>
      </c>
      <c r="O70" s="84">
        <f t="shared" si="32"/>
        <v>4.7899056702395901E-3</v>
      </c>
      <c r="P70" s="84">
        <f t="shared" si="32"/>
        <v>5.2125649958216442E-3</v>
      </c>
      <c r="Q70" s="84">
        <f t="shared" si="32"/>
        <v>5.4056778624421552E-3</v>
      </c>
      <c r="R70" s="84">
        <f t="shared" si="32"/>
        <v>5.5273292879539039E-3</v>
      </c>
      <c r="S70" s="84">
        <f t="shared" si="32"/>
        <v>5.793510463635204E-3</v>
      </c>
      <c r="T70" s="84">
        <f t="shared" si="32"/>
        <v>5.8440143265015461E-3</v>
      </c>
      <c r="U70" s="84">
        <f t="shared" si="32"/>
        <v>4.7582129028723719E-3</v>
      </c>
      <c r="V70" s="84">
        <f t="shared" si="32"/>
        <v>5.2747099078037235E-3</v>
      </c>
      <c r="W70" s="84">
        <f t="shared" si="32"/>
        <v>5.5395849423378494E-3</v>
      </c>
      <c r="X70" s="84">
        <f t="shared" si="32"/>
        <v>5.4259395794466619E-3</v>
      </c>
      <c r="Y70" s="84">
        <f t="shared" si="32"/>
        <v>5.2725801905800767E-3</v>
      </c>
      <c r="Z70" s="84">
        <f t="shared" si="32"/>
        <v>5.1086000679765242E-3</v>
      </c>
      <c r="AA70" s="84">
        <f t="shared" si="32"/>
        <v>5.769678960369817E-3</v>
      </c>
      <c r="AB70" s="84">
        <f t="shared" si="32"/>
        <v>5.1281037344423595E-3</v>
      </c>
      <c r="AC70" s="84">
        <f t="shared" si="32"/>
        <v>5.3388605250651354E-3</v>
      </c>
      <c r="AD70" s="84">
        <f t="shared" si="32"/>
        <v>5.1718799837665473E-3</v>
      </c>
      <c r="AE70" s="84">
        <f t="shared" si="32"/>
        <v>5.5345722168742848E-3</v>
      </c>
      <c r="AF70" s="84">
        <f t="shared" si="32"/>
        <v>5.3640814491767753E-3</v>
      </c>
      <c r="AG70" s="84">
        <f t="shared" si="32"/>
        <v>5.733717646677519E-3</v>
      </c>
      <c r="AH70" s="84">
        <f t="shared" si="32"/>
        <v>5.0465390975701404E-3</v>
      </c>
      <c r="AI70" s="84">
        <f t="shared" si="32"/>
        <v>5.6259310703916368E-3</v>
      </c>
      <c r="AJ70" s="84">
        <f t="shared" si="32"/>
        <v>4.9719941797572833E-3</v>
      </c>
      <c r="AK70" s="84">
        <f t="shared" si="32"/>
        <v>5.7222189980234281E-3</v>
      </c>
      <c r="AL70" s="84">
        <f t="shared" si="32"/>
        <v>4.8419333585268676E-3</v>
      </c>
      <c r="AM70" s="84">
        <f t="shared" si="32"/>
        <v>5.3574586415477844E-3</v>
      </c>
      <c r="AN70" s="84">
        <f t="shared" si="32"/>
        <v>5.8159506683987706E-3</v>
      </c>
      <c r="AO70" s="84">
        <f t="shared" si="32"/>
        <v>5.3677276104307486E-3</v>
      </c>
      <c r="AP70" s="84">
        <f t="shared" si="32"/>
        <v>4.9847608134316219E-3</v>
      </c>
      <c r="AQ70" s="84">
        <f t="shared" si="32"/>
        <v>5.6874813590027775E-3</v>
      </c>
      <c r="AR70" s="84">
        <f t="shared" si="32"/>
        <v>5.3215169290173961E-3</v>
      </c>
      <c r="AS70" s="84">
        <f t="shared" si="32"/>
        <v>5.0650061100666896E-3</v>
      </c>
      <c r="AT70" s="84">
        <f t="shared" si="32"/>
        <v>5.2338517922432713E-3</v>
      </c>
      <c r="AU70" s="84">
        <f t="shared" si="32"/>
        <v>5.2942122286817874E-3</v>
      </c>
      <c r="AV70" s="84">
        <f t="shared" si="32"/>
        <v>5.1770148293315008E-3</v>
      </c>
      <c r="AW70" s="84">
        <f t="shared" si="32"/>
        <v>4.0767169103311084E-3</v>
      </c>
      <c r="AX70" s="84">
        <f t="shared" si="32"/>
        <v>5.0700832408325895E-3</v>
      </c>
      <c r="AY70" s="84">
        <f t="shared" si="32"/>
        <v>5.5659542147218528E-3</v>
      </c>
      <c r="AZ70" s="84">
        <f t="shared" si="32"/>
        <v>5.402169810537598E-3</v>
      </c>
      <c r="BA70" s="84">
        <f t="shared" si="32"/>
        <v>5.2376901641831859E-3</v>
      </c>
      <c r="BB70" s="84">
        <f t="shared" si="32"/>
        <v>5.03722619876647E-3</v>
      </c>
      <c r="BC70" s="84">
        <f t="shared" si="32"/>
        <v>5.2598381825326168E-3</v>
      </c>
      <c r="BD70" s="84">
        <f t="shared" si="32"/>
        <v>5.3219931873242192E-3</v>
      </c>
      <c r="BE70" s="84">
        <f t="shared" si="32"/>
        <v>4.8106884561575931E-3</v>
      </c>
      <c r="BF70" s="84">
        <f t="shared" si="32"/>
        <v>4.9885845998285383E-3</v>
      </c>
      <c r="BG70" s="84">
        <f t="shared" si="32"/>
        <v>5.5966008681071011E-3</v>
      </c>
      <c r="BH70" s="84">
        <f t="shared" si="32"/>
        <v>5.1009988541734219E-3</v>
      </c>
      <c r="BI70" s="84">
        <f t="shared" si="32"/>
        <v>5.9003211951110402E-3</v>
      </c>
      <c r="BJ70" s="84">
        <f t="shared" si="32"/>
        <v>4.9518426176317094E-3</v>
      </c>
      <c r="BK70" s="84">
        <f t="shared" si="32"/>
        <v>5.4942791305581584E-3</v>
      </c>
      <c r="BL70" s="84">
        <f t="shared" si="32"/>
        <v>5.4534529715345031E-3</v>
      </c>
      <c r="BM70" s="84">
        <f t="shared" si="32"/>
        <v>5.1647770485934025E-3</v>
      </c>
      <c r="BN70" s="84">
        <f t="shared" si="32"/>
        <v>5.2837585336989578E-3</v>
      </c>
      <c r="BO70" s="84">
        <f t="shared" ref="BO70:BX70" si="33">BO61/(BO60+BO61)</f>
        <v>5.6249206432097635E-3</v>
      </c>
      <c r="BP70" s="84">
        <f t="shared" si="33"/>
        <v>5.1853048431800639E-3</v>
      </c>
      <c r="BQ70" s="84">
        <f t="shared" si="33"/>
        <v>5.9771377816398999E-3</v>
      </c>
      <c r="BR70" s="84">
        <f t="shared" si="33"/>
        <v>5.1242322945297672E-3</v>
      </c>
      <c r="BS70" s="84">
        <f t="shared" si="33"/>
        <v>4.8444004940270012E-3</v>
      </c>
      <c r="BT70" s="84">
        <f t="shared" si="33"/>
        <v>5.5934685540137228E-3</v>
      </c>
      <c r="BU70" s="84">
        <f t="shared" si="33"/>
        <v>5.761954348535334E-3</v>
      </c>
      <c r="BV70" s="84">
        <f t="shared" si="33"/>
        <v>4.8748176313389039E-3</v>
      </c>
      <c r="BW70" s="84">
        <f t="shared" si="33"/>
        <v>5.3976520949430232E-3</v>
      </c>
      <c r="BX70" s="85">
        <f>AVERAGE(I70:BW70)</f>
        <v>5.2963722037464144E-3</v>
      </c>
      <c r="BY70" s="45"/>
      <c r="BZ70" s="46"/>
    </row>
    <row r="71" spans="1:86" x14ac:dyDescent="0.2">
      <c r="A71" s="37" t="s">
        <v>130</v>
      </c>
      <c r="B71" s="29" t="s">
        <v>131</v>
      </c>
      <c r="C71" s="84">
        <f t="shared" ref="C71:BN71" si="34">C67/(C66+C67)</f>
        <v>1.7096619124564959E-2</v>
      </c>
      <c r="D71" s="84">
        <f t="shared" si="34"/>
        <v>1.8018727225004767E-2</v>
      </c>
      <c r="E71" s="84">
        <f t="shared" si="34"/>
        <v>2.0013511187681281E-2</v>
      </c>
      <c r="F71" s="84">
        <f t="shared" si="34"/>
        <v>1.8743165235253389E-2</v>
      </c>
      <c r="G71" s="84">
        <f t="shared" si="34"/>
        <v>1.7676427411432653E-2</v>
      </c>
      <c r="H71" s="84">
        <f t="shared" si="34"/>
        <v>1.6698070273174707E-2</v>
      </c>
      <c r="I71" s="84">
        <f t="shared" si="34"/>
        <v>1.850303127897425E-2</v>
      </c>
      <c r="J71" s="84">
        <f t="shared" si="34"/>
        <v>1.6764132581970521E-2</v>
      </c>
      <c r="K71" s="84">
        <f t="shared" si="34"/>
        <v>1.7661103849931498E-2</v>
      </c>
      <c r="L71" s="84">
        <f t="shared" si="34"/>
        <v>1.6911318991879098E-2</v>
      </c>
      <c r="M71" s="84">
        <f t="shared" si="34"/>
        <v>1.6000425200073432E-2</v>
      </c>
      <c r="N71" s="84">
        <f t="shared" si="34"/>
        <v>1.6588528800450895E-2</v>
      </c>
      <c r="O71" s="84">
        <f t="shared" si="34"/>
        <v>1.6788204914661587E-2</v>
      </c>
      <c r="P71" s="84">
        <f t="shared" si="34"/>
        <v>1.624524515291392E-2</v>
      </c>
      <c r="Q71" s="84">
        <f t="shared" si="34"/>
        <v>1.7549934389801888E-2</v>
      </c>
      <c r="R71" s="84">
        <f t="shared" si="34"/>
        <v>1.7841433893283385E-2</v>
      </c>
      <c r="S71" s="84">
        <f t="shared" si="34"/>
        <v>1.7736975546317656E-2</v>
      </c>
      <c r="T71" s="84">
        <f t="shared" si="34"/>
        <v>1.6942535978740434E-2</v>
      </c>
      <c r="U71" s="84">
        <f t="shared" si="34"/>
        <v>1.828637966911353E-2</v>
      </c>
      <c r="V71" s="84">
        <f t="shared" si="34"/>
        <v>1.7179243076544386E-2</v>
      </c>
      <c r="W71" s="84">
        <f t="shared" si="34"/>
        <v>1.8849710075927895E-2</v>
      </c>
      <c r="X71" s="84">
        <f t="shared" si="34"/>
        <v>1.7657110743355655E-2</v>
      </c>
      <c r="Y71" s="84">
        <f t="shared" si="34"/>
        <v>1.8511420480330748E-2</v>
      </c>
      <c r="Z71" s="84">
        <f t="shared" si="34"/>
        <v>1.6689035604889397E-2</v>
      </c>
      <c r="AA71" s="84">
        <f t="shared" si="34"/>
        <v>1.7793280711178607E-2</v>
      </c>
      <c r="AB71" s="84">
        <f t="shared" si="34"/>
        <v>1.6681158471128416E-2</v>
      </c>
      <c r="AC71" s="84">
        <f t="shared" si="34"/>
        <v>1.6939584993544702E-2</v>
      </c>
      <c r="AD71" s="84">
        <f t="shared" si="34"/>
        <v>1.7795515422217374E-2</v>
      </c>
      <c r="AE71" s="84">
        <f t="shared" si="34"/>
        <v>1.6113419563833629E-2</v>
      </c>
      <c r="AF71" s="84">
        <f t="shared" si="34"/>
        <v>1.7248670744132898E-2</v>
      </c>
      <c r="AG71" s="84">
        <f t="shared" si="34"/>
        <v>1.785856556830074E-2</v>
      </c>
      <c r="AH71" s="84">
        <f t="shared" si="34"/>
        <v>1.7203188921119224E-2</v>
      </c>
      <c r="AI71" s="84">
        <f t="shared" si="34"/>
        <v>1.7309596049645375E-2</v>
      </c>
      <c r="AJ71" s="84">
        <f t="shared" si="34"/>
        <v>1.7033631063988086E-2</v>
      </c>
      <c r="AK71" s="84">
        <f t="shared" si="34"/>
        <v>1.7874303990741251E-2</v>
      </c>
      <c r="AL71" s="84">
        <f t="shared" si="34"/>
        <v>1.6818916904014734E-2</v>
      </c>
      <c r="AM71" s="84">
        <f t="shared" si="34"/>
        <v>1.7836621492686885E-2</v>
      </c>
      <c r="AN71" s="84">
        <f t="shared" si="34"/>
        <v>1.8402550020241767E-2</v>
      </c>
      <c r="AO71" s="84">
        <f t="shared" si="34"/>
        <v>1.6963918487757201E-2</v>
      </c>
      <c r="AP71" s="84">
        <f t="shared" si="34"/>
        <v>1.6677497915742825E-2</v>
      </c>
      <c r="AQ71" s="84">
        <f t="shared" si="34"/>
        <v>1.7500058238153496E-2</v>
      </c>
      <c r="AR71" s="84">
        <f t="shared" si="34"/>
        <v>1.7298024023116833E-2</v>
      </c>
      <c r="AS71" s="84">
        <f t="shared" si="34"/>
        <v>1.7630937455262122E-2</v>
      </c>
      <c r="AT71" s="84">
        <f t="shared" si="34"/>
        <v>1.7679219936430884E-2</v>
      </c>
      <c r="AU71" s="84">
        <f t="shared" si="34"/>
        <v>1.6934692672497025E-2</v>
      </c>
      <c r="AV71" s="84">
        <f t="shared" si="34"/>
        <v>1.6253710161557921E-2</v>
      </c>
      <c r="AW71" s="84">
        <f t="shared" si="34"/>
        <v>1.3098192063008357E-2</v>
      </c>
      <c r="AX71" s="84">
        <f t="shared" si="34"/>
        <v>1.602563129627901E-2</v>
      </c>
      <c r="AY71" s="84">
        <f t="shared" si="34"/>
        <v>1.7831819703803802E-2</v>
      </c>
      <c r="AZ71" s="84">
        <f t="shared" si="34"/>
        <v>1.7021721256894353E-2</v>
      </c>
      <c r="BA71" s="84">
        <f t="shared" si="34"/>
        <v>1.7879827251586173E-2</v>
      </c>
      <c r="BB71" s="84">
        <f t="shared" si="34"/>
        <v>1.7166792100889759E-2</v>
      </c>
      <c r="BC71" s="84">
        <f t="shared" si="34"/>
        <v>1.7725778143750294E-2</v>
      </c>
      <c r="BD71" s="84">
        <f t="shared" si="34"/>
        <v>1.7271763126218549E-2</v>
      </c>
      <c r="BE71" s="84">
        <f t="shared" si="34"/>
        <v>1.6465237156435865E-2</v>
      </c>
      <c r="BF71" s="84">
        <f t="shared" si="34"/>
        <v>1.5762959107133084E-2</v>
      </c>
      <c r="BG71" s="84">
        <f t="shared" si="34"/>
        <v>1.6648891895953675E-2</v>
      </c>
      <c r="BH71" s="84">
        <f t="shared" si="34"/>
        <v>1.7451964396465871E-2</v>
      </c>
      <c r="BI71" s="84">
        <f t="shared" si="34"/>
        <v>1.8908895359484052E-2</v>
      </c>
      <c r="BJ71" s="84">
        <f t="shared" si="34"/>
        <v>1.6590693240326373E-2</v>
      </c>
      <c r="BK71" s="84">
        <f t="shared" si="34"/>
        <v>1.633502437335373E-2</v>
      </c>
      <c r="BL71" s="84">
        <f t="shared" si="34"/>
        <v>1.8488277601266836E-2</v>
      </c>
      <c r="BM71" s="84">
        <f t="shared" si="34"/>
        <v>1.6291355373191097E-2</v>
      </c>
      <c r="BN71" s="84">
        <f t="shared" si="34"/>
        <v>1.6933139103852551E-2</v>
      </c>
      <c r="BO71" s="84">
        <f t="shared" ref="BO71:BX71" si="35">BO67/(BO66+BO67)</f>
        <v>1.6468858016019893E-2</v>
      </c>
      <c r="BP71" s="84">
        <f t="shared" si="35"/>
        <v>1.6894494056972308E-2</v>
      </c>
      <c r="BQ71" s="84">
        <f t="shared" si="35"/>
        <v>1.687070244562236E-2</v>
      </c>
      <c r="BR71" s="84">
        <f t="shared" si="35"/>
        <v>1.603748268068407E-2</v>
      </c>
      <c r="BS71" s="84">
        <f t="shared" si="35"/>
        <v>1.593235965178131E-2</v>
      </c>
      <c r="BT71" s="84">
        <f t="shared" si="35"/>
        <v>1.9405073357826555E-2</v>
      </c>
      <c r="BU71" s="84">
        <f t="shared" si="35"/>
        <v>1.743672604809083E-2</v>
      </c>
      <c r="BV71" s="84">
        <f t="shared" si="35"/>
        <v>1.824753363791624E-2</v>
      </c>
      <c r="BW71" s="84">
        <f t="shared" si="35"/>
        <v>1.7169392644878698E-2</v>
      </c>
      <c r="BX71" s="85">
        <f>AVERAGE(I71:BW71)</f>
        <v>1.7177812210837879E-2</v>
      </c>
      <c r="BY71" s="42">
        <f>BX79-BX80</f>
        <v>2.7305150687157997E-3</v>
      </c>
      <c r="BZ71" s="43">
        <f>BX60*BY71</f>
        <v>2.3600366507998705</v>
      </c>
      <c r="CH71" s="77">
        <f>CH50/(CH52+CH53)</f>
        <v>0.94488433346849743</v>
      </c>
    </row>
    <row r="72" spans="1:86" x14ac:dyDescent="0.2">
      <c r="A72" s="37"/>
      <c r="B72" s="29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5"/>
      <c r="BY72" s="45"/>
      <c r="BZ72" s="46"/>
      <c r="CH72" s="77">
        <f>CH56/(CH58+CH59)</f>
        <v>0.94241615935906764</v>
      </c>
    </row>
    <row r="73" spans="1:86" x14ac:dyDescent="0.2">
      <c r="A73" s="37" t="s">
        <v>132</v>
      </c>
      <c r="B73" s="29" t="s">
        <v>133</v>
      </c>
      <c r="C73" s="84">
        <f t="shared" ref="C73:BN73" si="36">C59/(C60+C61)</f>
        <v>4.609620153960698E-2</v>
      </c>
      <c r="D73" s="84">
        <f t="shared" si="36"/>
        <v>5.8846737775867221E-2</v>
      </c>
      <c r="E73" s="84">
        <f t="shared" si="36"/>
        <v>6.0215041966980333E-2</v>
      </c>
      <c r="F73" s="84">
        <f t="shared" si="36"/>
        <v>6.525411848014126E-2</v>
      </c>
      <c r="G73" s="84">
        <f t="shared" si="36"/>
        <v>5.0539885978348235E-2</v>
      </c>
      <c r="H73" s="84">
        <f t="shared" si="36"/>
        <v>4.699535428639269E-2</v>
      </c>
      <c r="I73" s="84">
        <f t="shared" si="36"/>
        <v>6.1841208712737551E-2</v>
      </c>
      <c r="J73" s="84">
        <f t="shared" si="36"/>
        <v>4.3107654870301312E-2</v>
      </c>
      <c r="K73" s="84">
        <f t="shared" si="36"/>
        <v>4.6346632097164539E-2</v>
      </c>
      <c r="L73" s="84">
        <f t="shared" si="36"/>
        <v>4.4445580191227747E-2</v>
      </c>
      <c r="M73" s="84">
        <f t="shared" si="36"/>
        <v>4.9417882368860681E-2</v>
      </c>
      <c r="N73" s="84">
        <f t="shared" si="36"/>
        <v>4.5186443136875094E-2</v>
      </c>
      <c r="O73" s="84">
        <f t="shared" si="36"/>
        <v>4.8010035429629637E-2</v>
      </c>
      <c r="P73" s="84">
        <f t="shared" si="36"/>
        <v>4.5949181651083984E-2</v>
      </c>
      <c r="Q73" s="84">
        <f t="shared" si="36"/>
        <v>5.6429717405522849E-2</v>
      </c>
      <c r="R73" s="84">
        <f t="shared" si="36"/>
        <v>5.4078459150258128E-2</v>
      </c>
      <c r="S73" s="84">
        <f t="shared" si="36"/>
        <v>5.3642607847950254E-2</v>
      </c>
      <c r="T73" s="84">
        <f t="shared" si="36"/>
        <v>5.4202108618754664E-2</v>
      </c>
      <c r="U73" s="84">
        <f t="shared" si="36"/>
        <v>5.245434149485742E-2</v>
      </c>
      <c r="V73" s="84">
        <f t="shared" si="36"/>
        <v>5.086368248323038E-2</v>
      </c>
      <c r="W73" s="84">
        <f t="shared" si="36"/>
        <v>5.344457653690611E-2</v>
      </c>
      <c r="X73" s="84">
        <f t="shared" si="36"/>
        <v>4.6771288715018233E-2</v>
      </c>
      <c r="Y73" s="84">
        <f t="shared" si="36"/>
        <v>5.2468182014490473E-2</v>
      </c>
      <c r="Z73" s="84">
        <f t="shared" si="36"/>
        <v>4.7330713139407239E-2</v>
      </c>
      <c r="AA73" s="84">
        <f t="shared" si="36"/>
        <v>5.0200780235614154E-2</v>
      </c>
      <c r="AB73" s="84">
        <f t="shared" si="36"/>
        <v>4.8574076220952569E-2</v>
      </c>
      <c r="AC73" s="84">
        <f t="shared" si="36"/>
        <v>4.4008004915444203E-2</v>
      </c>
      <c r="AD73" s="84">
        <f t="shared" si="36"/>
        <v>4.7221490699593215E-2</v>
      </c>
      <c r="AE73" s="84">
        <f t="shared" si="36"/>
        <v>4.9589274299076926E-2</v>
      </c>
      <c r="AF73" s="84">
        <f t="shared" si="36"/>
        <v>5.1255366226239406E-2</v>
      </c>
      <c r="AG73" s="84">
        <f t="shared" si="36"/>
        <v>5.4605097965164308E-2</v>
      </c>
      <c r="AH73" s="84">
        <f t="shared" si="36"/>
        <v>5.0821931904706526E-2</v>
      </c>
      <c r="AI73" s="84">
        <f t="shared" si="36"/>
        <v>5.1570354243235708E-2</v>
      </c>
      <c r="AJ73" s="84">
        <f t="shared" si="36"/>
        <v>4.6827067148403283E-2</v>
      </c>
      <c r="AK73" s="84">
        <f t="shared" si="36"/>
        <v>5.0397082977694733E-2</v>
      </c>
      <c r="AL73" s="84">
        <f t="shared" si="36"/>
        <v>4.5182087114727293E-2</v>
      </c>
      <c r="AM73" s="84">
        <f t="shared" si="36"/>
        <v>5.007333861406172E-2</v>
      </c>
      <c r="AN73" s="84">
        <f t="shared" si="36"/>
        <v>5.4060827572119122E-2</v>
      </c>
      <c r="AO73" s="84">
        <f t="shared" si="36"/>
        <v>4.7381053720881368E-2</v>
      </c>
      <c r="AP73" s="84">
        <f t="shared" si="36"/>
        <v>4.9821966803534429E-2</v>
      </c>
      <c r="AQ73" s="84">
        <f t="shared" si="36"/>
        <v>5.1961326466769327E-2</v>
      </c>
      <c r="AR73" s="84">
        <f t="shared" si="36"/>
        <v>4.8672669650043257E-2</v>
      </c>
      <c r="AS73" s="84">
        <f t="shared" si="36"/>
        <v>5.1673947590223625E-2</v>
      </c>
      <c r="AT73" s="84">
        <f t="shared" si="36"/>
        <v>5.3465599703892544E-2</v>
      </c>
      <c r="AU73" s="84">
        <f t="shared" si="36"/>
        <v>5.0964144874672532E-2</v>
      </c>
      <c r="AV73" s="84">
        <f t="shared" si="36"/>
        <v>5.1418708927212169E-2</v>
      </c>
      <c r="AW73" s="84">
        <f t="shared" si="36"/>
        <v>2.7838328118853797E-2</v>
      </c>
      <c r="AX73" s="84">
        <f t="shared" si="36"/>
        <v>4.8393950601962089E-2</v>
      </c>
      <c r="AY73" s="84">
        <f t="shared" si="36"/>
        <v>5.1025152632811578E-2</v>
      </c>
      <c r="AZ73" s="84">
        <f t="shared" si="36"/>
        <v>5.2797020266602136E-2</v>
      </c>
      <c r="BA73" s="84">
        <f t="shared" si="36"/>
        <v>4.5859317102046403E-2</v>
      </c>
      <c r="BB73" s="84">
        <f t="shared" si="36"/>
        <v>5.0091177766645005E-2</v>
      </c>
      <c r="BC73" s="84">
        <f t="shared" si="36"/>
        <v>5.3892604442555121E-2</v>
      </c>
      <c r="BD73" s="84">
        <f t="shared" si="36"/>
        <v>5.1669888977921588E-2</v>
      </c>
      <c r="BE73" s="84">
        <f t="shared" si="36"/>
        <v>4.9838768728678193E-2</v>
      </c>
      <c r="BF73" s="84">
        <f t="shared" si="36"/>
        <v>4.7107131281897086E-2</v>
      </c>
      <c r="BG73" s="84">
        <f t="shared" si="36"/>
        <v>5.1020506495047094E-2</v>
      </c>
      <c r="BH73" s="84">
        <f t="shared" si="36"/>
        <v>4.8894774131967425E-2</v>
      </c>
      <c r="BI73" s="84">
        <f t="shared" si="36"/>
        <v>5.506304591079135E-2</v>
      </c>
      <c r="BJ73" s="84">
        <f t="shared" si="36"/>
        <v>5.2634001552843167E-2</v>
      </c>
      <c r="BK73" s="84">
        <f t="shared" si="36"/>
        <v>5.1810236881179444E-2</v>
      </c>
      <c r="BL73" s="84">
        <f t="shared" si="36"/>
        <v>5.2305398162291336E-2</v>
      </c>
      <c r="BM73" s="84">
        <f t="shared" si="36"/>
        <v>4.9734575950637717E-2</v>
      </c>
      <c r="BN73" s="84">
        <f t="shared" si="36"/>
        <v>5.1567390513934393E-2</v>
      </c>
      <c r="BO73" s="84">
        <f t="shared" ref="BO73:BX73" si="37">BO59/(BO60+BO61)</f>
        <v>5.2550446689480917E-2</v>
      </c>
      <c r="BP73" s="84">
        <f t="shared" si="37"/>
        <v>4.7914243025863161E-2</v>
      </c>
      <c r="BQ73" s="84">
        <f t="shared" si="37"/>
        <v>5.1965621410141265E-2</v>
      </c>
      <c r="BR73" s="84">
        <f t="shared" si="37"/>
        <v>4.8246555854725634E-2</v>
      </c>
      <c r="BS73" s="84">
        <f t="shared" si="37"/>
        <v>4.4194360598664412E-2</v>
      </c>
      <c r="BT73" s="84">
        <f t="shared" si="37"/>
        <v>5.3101662621239484E-2</v>
      </c>
      <c r="BU73" s="84">
        <f t="shared" si="37"/>
        <v>5.3920625400509903E-2</v>
      </c>
      <c r="BV73" s="84">
        <f t="shared" si="37"/>
        <v>4.7014249861513015E-2</v>
      </c>
      <c r="BW73" s="84">
        <f t="shared" si="37"/>
        <v>4.7950674489537742E-2</v>
      </c>
      <c r="BX73" s="85">
        <f>AVERAGE(I73:BW73)</f>
        <v>4.9912510495654892E-2</v>
      </c>
    </row>
    <row r="74" spans="1:86" x14ac:dyDescent="0.2">
      <c r="A74" s="37" t="s">
        <v>134</v>
      </c>
      <c r="B74" s="29" t="s">
        <v>135</v>
      </c>
      <c r="C74" s="84">
        <f t="shared" ref="C74:BN74" si="38">C65/(C66+C67)</f>
        <v>3.7379463702397669E-2</v>
      </c>
      <c r="D74" s="84">
        <f t="shared" si="38"/>
        <v>4.6878197902198951E-2</v>
      </c>
      <c r="E74" s="84">
        <f t="shared" si="38"/>
        <v>4.7462160643605332E-2</v>
      </c>
      <c r="F74" s="84">
        <f t="shared" si="38"/>
        <v>5.3331899690266749E-2</v>
      </c>
      <c r="G74" s="84">
        <f t="shared" si="38"/>
        <v>4.0892717567149982E-2</v>
      </c>
      <c r="H74" s="84">
        <f t="shared" si="38"/>
        <v>3.7341870736686586E-2</v>
      </c>
      <c r="I74" s="84">
        <f t="shared" si="38"/>
        <v>4.9550396203424128E-2</v>
      </c>
      <c r="J74" s="84">
        <f t="shared" si="38"/>
        <v>3.5210447997982272E-2</v>
      </c>
      <c r="K74" s="84">
        <f t="shared" si="38"/>
        <v>3.8072648921154147E-2</v>
      </c>
      <c r="L74" s="84">
        <f t="shared" si="38"/>
        <v>3.6542831474615324E-2</v>
      </c>
      <c r="M74" s="84">
        <f t="shared" si="38"/>
        <v>4.0162361946619748E-2</v>
      </c>
      <c r="N74" s="84">
        <f t="shared" si="38"/>
        <v>3.7097727457094609E-2</v>
      </c>
      <c r="O74" s="84">
        <f t="shared" si="38"/>
        <v>3.8667196253506106E-2</v>
      </c>
      <c r="P74" s="84">
        <f t="shared" si="38"/>
        <v>3.7833004597895709E-2</v>
      </c>
      <c r="Q74" s="84">
        <f t="shared" si="38"/>
        <v>4.4183199597096857E-2</v>
      </c>
      <c r="R74" s="84">
        <f t="shared" si="38"/>
        <v>4.4640596536283772E-2</v>
      </c>
      <c r="S74" s="84">
        <f t="shared" si="38"/>
        <v>4.3856392442841494E-2</v>
      </c>
      <c r="T74" s="84">
        <f t="shared" si="38"/>
        <v>4.4151486393867241E-2</v>
      </c>
      <c r="U74" s="84">
        <f t="shared" si="38"/>
        <v>4.2452067271460531E-2</v>
      </c>
      <c r="V74" s="84">
        <f t="shared" si="38"/>
        <v>4.16194816299486E-2</v>
      </c>
      <c r="W74" s="84">
        <f t="shared" si="38"/>
        <v>4.267061343039312E-2</v>
      </c>
      <c r="X74" s="84">
        <f t="shared" si="38"/>
        <v>3.8367646134401828E-2</v>
      </c>
      <c r="Y74" s="84">
        <f t="shared" si="38"/>
        <v>4.173062247605043E-2</v>
      </c>
      <c r="Z74" s="84">
        <f t="shared" si="38"/>
        <v>3.7948381059465019E-2</v>
      </c>
      <c r="AA74" s="84">
        <f t="shared" si="38"/>
        <v>3.9712854549286053E-2</v>
      </c>
      <c r="AB74" s="84">
        <f t="shared" si="38"/>
        <v>4.0694785908022627E-2</v>
      </c>
      <c r="AC74" s="84">
        <f t="shared" si="38"/>
        <v>3.7250972816031444E-2</v>
      </c>
      <c r="AD74" s="84">
        <f t="shared" si="38"/>
        <v>3.9075220584007177E-2</v>
      </c>
      <c r="AE74" s="84">
        <f t="shared" si="38"/>
        <v>4.1074386457869504E-2</v>
      </c>
      <c r="AF74" s="84">
        <f t="shared" si="38"/>
        <v>4.1812147821046676E-2</v>
      </c>
      <c r="AG74" s="84">
        <f t="shared" si="38"/>
        <v>4.5140353898815849E-2</v>
      </c>
      <c r="AH74" s="84">
        <f t="shared" si="38"/>
        <v>4.186703033235295E-2</v>
      </c>
      <c r="AI74" s="84">
        <f t="shared" si="38"/>
        <v>4.219014564887813E-2</v>
      </c>
      <c r="AJ74" s="84">
        <f t="shared" si="38"/>
        <v>3.7783916651708195E-2</v>
      </c>
      <c r="AK74" s="84">
        <f t="shared" si="38"/>
        <v>4.1774989418999535E-2</v>
      </c>
      <c r="AL74" s="84">
        <f t="shared" si="38"/>
        <v>3.7037371001976273E-2</v>
      </c>
      <c r="AM74" s="84">
        <f t="shared" si="38"/>
        <v>4.1764486390935343E-2</v>
      </c>
      <c r="AN74" s="84">
        <f t="shared" si="38"/>
        <v>4.4276510923630892E-2</v>
      </c>
      <c r="AO74" s="84">
        <f t="shared" si="38"/>
        <v>3.9397885225116933E-2</v>
      </c>
      <c r="AP74" s="84">
        <f t="shared" si="38"/>
        <v>4.0852835013216945E-2</v>
      </c>
      <c r="AQ74" s="84">
        <f t="shared" si="38"/>
        <v>4.2101190517275587E-2</v>
      </c>
      <c r="AR74" s="84">
        <f t="shared" si="38"/>
        <v>4.00430222111521E-2</v>
      </c>
      <c r="AS74" s="84">
        <f t="shared" si="38"/>
        <v>4.2423016640890598E-2</v>
      </c>
      <c r="AT74" s="84">
        <f t="shared" si="38"/>
        <v>4.3713667440808061E-2</v>
      </c>
      <c r="AU74" s="84">
        <f t="shared" si="38"/>
        <v>4.1352714427164677E-2</v>
      </c>
      <c r="AV74" s="84">
        <f t="shared" si="38"/>
        <v>4.2181283549156887E-2</v>
      </c>
      <c r="AW74" s="84">
        <f t="shared" si="38"/>
        <v>2.0262107139560205E-2</v>
      </c>
      <c r="AX74" s="84">
        <f t="shared" si="38"/>
        <v>3.9878658870104944E-2</v>
      </c>
      <c r="AY74" s="84">
        <f t="shared" si="38"/>
        <v>4.2481316774972647E-2</v>
      </c>
      <c r="AZ74" s="84">
        <f t="shared" si="38"/>
        <v>4.2732374116774767E-2</v>
      </c>
      <c r="BA74" s="84">
        <f t="shared" si="38"/>
        <v>3.7587723623338135E-2</v>
      </c>
      <c r="BB74" s="84">
        <f t="shared" si="38"/>
        <v>4.0906009284861204E-2</v>
      </c>
      <c r="BC74" s="84">
        <f t="shared" si="38"/>
        <v>4.3711920252544251E-2</v>
      </c>
      <c r="BD74" s="84">
        <f t="shared" si="38"/>
        <v>4.2351810453138516E-2</v>
      </c>
      <c r="BE74" s="84">
        <f t="shared" si="38"/>
        <v>4.1955082256097675E-2</v>
      </c>
      <c r="BF74" s="84">
        <f t="shared" si="38"/>
        <v>3.9444111062335037E-2</v>
      </c>
      <c r="BG74" s="84">
        <f t="shared" si="38"/>
        <v>4.2193528582430084E-2</v>
      </c>
      <c r="BH74" s="84">
        <f t="shared" si="38"/>
        <v>4.0250834573829504E-2</v>
      </c>
      <c r="BI74" s="84">
        <f t="shared" si="38"/>
        <v>4.3948403224881007E-2</v>
      </c>
      <c r="BJ74" s="84">
        <f t="shared" si="38"/>
        <v>4.3577656851118772E-2</v>
      </c>
      <c r="BK74" s="84">
        <f t="shared" si="38"/>
        <v>4.2994721810521538E-2</v>
      </c>
      <c r="BL74" s="84">
        <f t="shared" si="38"/>
        <v>4.2538085578189951E-2</v>
      </c>
      <c r="BM74" s="84">
        <f t="shared" si="38"/>
        <v>4.021995360182147E-2</v>
      </c>
      <c r="BN74" s="84">
        <f t="shared" si="38"/>
        <v>4.1749118467757119E-2</v>
      </c>
      <c r="BO74" s="84">
        <f t="shared" ref="BO74:BX74" si="39">BO65/(BO66+BO67)</f>
        <v>4.3160103335902582E-2</v>
      </c>
      <c r="BP74" s="84">
        <f t="shared" si="39"/>
        <v>3.8297045725963014E-2</v>
      </c>
      <c r="BQ74" s="84">
        <f t="shared" si="39"/>
        <v>4.1021656087459994E-2</v>
      </c>
      <c r="BR74" s="84">
        <f t="shared" si="39"/>
        <v>3.9040874687723354E-2</v>
      </c>
      <c r="BS74" s="84">
        <f t="shared" si="39"/>
        <v>3.7869362575741985E-2</v>
      </c>
      <c r="BT74" s="84">
        <f t="shared" si="39"/>
        <v>4.3343067640407726E-2</v>
      </c>
      <c r="BU74" s="84">
        <f t="shared" si="39"/>
        <v>4.3940631335468675E-2</v>
      </c>
      <c r="BV74" s="84">
        <f t="shared" si="39"/>
        <v>3.8044828275390338E-2</v>
      </c>
      <c r="BW74" s="84">
        <f t="shared" si="39"/>
        <v>3.9247356896932629E-2</v>
      </c>
      <c r="BX74" s="85">
        <f>AVERAGE(I74:BW74)</f>
        <v>4.0761585557279253E-2</v>
      </c>
    </row>
    <row r="75" spans="1:86" x14ac:dyDescent="0.2">
      <c r="A75" s="86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7"/>
    </row>
    <row r="76" spans="1:86" x14ac:dyDescent="0.2">
      <c r="A76" s="37" t="s">
        <v>136</v>
      </c>
      <c r="B76" s="29" t="s">
        <v>137</v>
      </c>
      <c r="C76" s="84">
        <f>C60/(C61+C60)</f>
        <v>0.99520229989207054</v>
      </c>
      <c r="D76" s="84">
        <f t="shared" ref="D76:BO76" si="40">D60/(D61+D60)</f>
        <v>0.99430906936356844</v>
      </c>
      <c r="E76" s="84">
        <f t="shared" si="40"/>
        <v>0.99429273305229471</v>
      </c>
      <c r="F76" s="84">
        <f t="shared" si="40"/>
        <v>0.99397442321900431</v>
      </c>
      <c r="G76" s="84">
        <f t="shared" si="40"/>
        <v>0.99458404061459016</v>
      </c>
      <c r="H76" s="84">
        <f t="shared" si="40"/>
        <v>0.9952555054132729</v>
      </c>
      <c r="I76" s="84">
        <f t="shared" si="40"/>
        <v>0.99457222149384106</v>
      </c>
      <c r="J76" s="84">
        <f t="shared" si="40"/>
        <v>0.9951411524247209</v>
      </c>
      <c r="K76" s="84">
        <f t="shared" si="40"/>
        <v>0.99458652464403563</v>
      </c>
      <c r="L76" s="84">
        <f t="shared" si="40"/>
        <v>0.99504653854792802</v>
      </c>
      <c r="M76" s="84">
        <f t="shared" si="40"/>
        <v>0.99427653133991201</v>
      </c>
      <c r="N76" s="84">
        <f t="shared" si="40"/>
        <v>0.99512808116899953</v>
      </c>
      <c r="O76" s="84">
        <f t="shared" si="40"/>
        <v>0.99521009432976038</v>
      </c>
      <c r="P76" s="84">
        <f t="shared" si="40"/>
        <v>0.99478743500417843</v>
      </c>
      <c r="Q76" s="84">
        <f t="shared" si="40"/>
        <v>0.99459432213755783</v>
      </c>
      <c r="R76" s="84">
        <f t="shared" si="40"/>
        <v>0.99447267071204604</v>
      </c>
      <c r="S76" s="84">
        <f t="shared" si="40"/>
        <v>0.9942064895363647</v>
      </c>
      <c r="T76" s="84">
        <f t="shared" si="40"/>
        <v>0.99415598567349839</v>
      </c>
      <c r="U76" s="84">
        <f t="shared" si="40"/>
        <v>0.99524178709712774</v>
      </c>
      <c r="V76" s="84">
        <f t="shared" si="40"/>
        <v>0.99472529009219623</v>
      </c>
      <c r="W76" s="84">
        <f t="shared" si="40"/>
        <v>0.99446041505766214</v>
      </c>
      <c r="X76" s="84">
        <f t="shared" si="40"/>
        <v>0.9945740604205533</v>
      </c>
      <c r="Y76" s="84">
        <f t="shared" si="40"/>
        <v>0.99472741980941992</v>
      </c>
      <c r="Z76" s="84">
        <f t="shared" si="40"/>
        <v>0.99489139993202347</v>
      </c>
      <c r="AA76" s="84">
        <f t="shared" si="40"/>
        <v>0.99423032103963027</v>
      </c>
      <c r="AB76" s="84">
        <f t="shared" si="40"/>
        <v>0.99487189626555761</v>
      </c>
      <c r="AC76" s="84">
        <f t="shared" si="40"/>
        <v>0.99466113947493484</v>
      </c>
      <c r="AD76" s="84">
        <f t="shared" si="40"/>
        <v>0.99482812001623344</v>
      </c>
      <c r="AE76" s="84">
        <f t="shared" si="40"/>
        <v>0.99446542778312574</v>
      </c>
      <c r="AF76" s="84">
        <f t="shared" si="40"/>
        <v>0.99463591855082334</v>
      </c>
      <c r="AG76" s="84">
        <f t="shared" si="40"/>
        <v>0.99426628235332248</v>
      </c>
      <c r="AH76" s="84">
        <f t="shared" si="40"/>
        <v>0.99495346090242986</v>
      </c>
      <c r="AI76" s="84">
        <f t="shared" si="40"/>
        <v>0.99437406892960833</v>
      </c>
      <c r="AJ76" s="84">
        <f t="shared" si="40"/>
        <v>0.99502800582024264</v>
      </c>
      <c r="AK76" s="84">
        <f t="shared" si="40"/>
        <v>0.99427778100197661</v>
      </c>
      <c r="AL76" s="84">
        <f t="shared" si="40"/>
        <v>0.99515806664147322</v>
      </c>
      <c r="AM76" s="84">
        <f t="shared" si="40"/>
        <v>0.99464254135845231</v>
      </c>
      <c r="AN76" s="84">
        <f t="shared" si="40"/>
        <v>0.99418404933160121</v>
      </c>
      <c r="AO76" s="84">
        <f t="shared" si="40"/>
        <v>0.99463227238956919</v>
      </c>
      <c r="AP76" s="84">
        <f t="shared" si="40"/>
        <v>0.99501523918656842</v>
      </c>
      <c r="AQ76" s="84">
        <f t="shared" si="40"/>
        <v>0.99431251864099712</v>
      </c>
      <c r="AR76" s="84">
        <f t="shared" si="40"/>
        <v>0.99467848307098261</v>
      </c>
      <c r="AS76" s="84">
        <f t="shared" si="40"/>
        <v>0.99493499388993334</v>
      </c>
      <c r="AT76" s="84">
        <f t="shared" si="40"/>
        <v>0.99476614820775666</v>
      </c>
      <c r="AU76" s="84">
        <f t="shared" si="40"/>
        <v>0.99470578777131824</v>
      </c>
      <c r="AV76" s="84">
        <f t="shared" si="40"/>
        <v>0.99482298517066847</v>
      </c>
      <c r="AW76" s="84">
        <f t="shared" si="40"/>
        <v>0.99592328308966882</v>
      </c>
      <c r="AX76" s="84">
        <f t="shared" si="40"/>
        <v>0.99492991675916742</v>
      </c>
      <c r="AY76" s="84">
        <f t="shared" si="40"/>
        <v>0.99443404578527816</v>
      </c>
      <c r="AZ76" s="84">
        <f t="shared" si="40"/>
        <v>0.99459783018946235</v>
      </c>
      <c r="BA76" s="84">
        <f t="shared" si="40"/>
        <v>0.99476230983581693</v>
      </c>
      <c r="BB76" s="84">
        <f t="shared" si="40"/>
        <v>0.99496277380123355</v>
      </c>
      <c r="BC76" s="84">
        <f t="shared" si="40"/>
        <v>0.99474016181746727</v>
      </c>
      <c r="BD76" s="84">
        <f t="shared" si="40"/>
        <v>0.99467800681267582</v>
      </c>
      <c r="BE76" s="84">
        <f t="shared" si="40"/>
        <v>0.99518931154384249</v>
      </c>
      <c r="BF76" s="84">
        <f t="shared" si="40"/>
        <v>0.99501141540017146</v>
      </c>
      <c r="BG76" s="84">
        <f t="shared" si="40"/>
        <v>0.99440339913189291</v>
      </c>
      <c r="BH76" s="84">
        <f t="shared" si="40"/>
        <v>0.99489900114582663</v>
      </c>
      <c r="BI76" s="84">
        <f t="shared" si="40"/>
        <v>0.99409967880488903</v>
      </c>
      <c r="BJ76" s="84">
        <f t="shared" si="40"/>
        <v>0.99504815738236829</v>
      </c>
      <c r="BK76" s="84">
        <f t="shared" si="40"/>
        <v>0.99450572086944189</v>
      </c>
      <c r="BL76" s="84">
        <f t="shared" si="40"/>
        <v>0.99454654702846557</v>
      </c>
      <c r="BM76" s="84">
        <f t="shared" si="40"/>
        <v>0.99483522295140658</v>
      </c>
      <c r="BN76" s="84">
        <f t="shared" si="40"/>
        <v>0.994716241466301</v>
      </c>
      <c r="BO76" s="84">
        <f t="shared" si="40"/>
        <v>0.99437507935679026</v>
      </c>
      <c r="BP76" s="84">
        <f t="shared" ref="BP76:BX76" si="41">BP60/(BP61+BP60)</f>
        <v>0.99481469515681986</v>
      </c>
      <c r="BQ76" s="84">
        <f t="shared" si="41"/>
        <v>0.99402286221836011</v>
      </c>
      <c r="BR76" s="84">
        <f t="shared" si="41"/>
        <v>0.99487576770547026</v>
      </c>
      <c r="BS76" s="84">
        <f t="shared" si="41"/>
        <v>0.99515559950597299</v>
      </c>
      <c r="BT76" s="84">
        <f t="shared" si="41"/>
        <v>0.99440653144598623</v>
      </c>
      <c r="BU76" s="84">
        <f t="shared" si="41"/>
        <v>0.99423804565146467</v>
      </c>
      <c r="BV76" s="84">
        <f t="shared" si="41"/>
        <v>0.9951251823686611</v>
      </c>
      <c r="BW76" s="84">
        <f t="shared" si="41"/>
        <v>0.99460234790505697</v>
      </c>
      <c r="BX76" s="85">
        <f>AVERAGE(I76:BW76)</f>
        <v>0.99470362779625365</v>
      </c>
    </row>
    <row r="77" spans="1:86" x14ac:dyDescent="0.2">
      <c r="A77" s="37" t="s">
        <v>138</v>
      </c>
      <c r="B77" s="29" t="s">
        <v>139</v>
      </c>
      <c r="C77" s="84">
        <f>C66/(C67+C66)</f>
        <v>0.98290338087543505</v>
      </c>
      <c r="D77" s="84">
        <f>D66/(D67+D66)</f>
        <v>0.98198127277499525</v>
      </c>
      <c r="E77" s="84">
        <f t="shared" ref="E77:BP77" si="42">E66/(E67+E66)</f>
        <v>0.97998648881231876</v>
      </c>
      <c r="F77" s="84">
        <f t="shared" si="42"/>
        <v>0.98125683476474668</v>
      </c>
      <c r="G77" s="84">
        <f t="shared" si="42"/>
        <v>0.98232357258856728</v>
      </c>
      <c r="H77" s="84">
        <f t="shared" si="42"/>
        <v>0.98330192972682529</v>
      </c>
      <c r="I77" s="84">
        <f t="shared" si="42"/>
        <v>0.98149696872102565</v>
      </c>
      <c r="J77" s="84">
        <f t="shared" si="42"/>
        <v>0.98323586741802937</v>
      </c>
      <c r="K77" s="84">
        <f t="shared" si="42"/>
        <v>0.98233889615006842</v>
      </c>
      <c r="L77" s="84">
        <f t="shared" si="42"/>
        <v>0.98308868100812097</v>
      </c>
      <c r="M77" s="84">
        <f t="shared" si="42"/>
        <v>0.98399957479992661</v>
      </c>
      <c r="N77" s="84">
        <f t="shared" si="42"/>
        <v>0.98341147119954908</v>
      </c>
      <c r="O77" s="84">
        <f t="shared" si="42"/>
        <v>0.9832117950853384</v>
      </c>
      <c r="P77" s="84">
        <f t="shared" si="42"/>
        <v>0.98375475484708608</v>
      </c>
      <c r="Q77" s="84">
        <f t="shared" si="42"/>
        <v>0.9824500656101981</v>
      </c>
      <c r="R77" s="84">
        <f t="shared" si="42"/>
        <v>0.98215856610671659</v>
      </c>
      <c r="S77" s="84">
        <f t="shared" si="42"/>
        <v>0.98226302445368241</v>
      </c>
      <c r="T77" s="84">
        <f t="shared" si="42"/>
        <v>0.9830574640212596</v>
      </c>
      <c r="U77" s="84">
        <f t="shared" si="42"/>
        <v>0.98171362033088649</v>
      </c>
      <c r="V77" s="84">
        <f t="shared" si="42"/>
        <v>0.98282075692345561</v>
      </c>
      <c r="W77" s="84">
        <f t="shared" si="42"/>
        <v>0.98115028992407205</v>
      </c>
      <c r="X77" s="84">
        <f t="shared" si="42"/>
        <v>0.98234288925664437</v>
      </c>
      <c r="Y77" s="84">
        <f t="shared" si="42"/>
        <v>0.98148857951966928</v>
      </c>
      <c r="Z77" s="84">
        <f t="shared" si="42"/>
        <v>0.98331096439511068</v>
      </c>
      <c r="AA77" s="84">
        <f t="shared" si="42"/>
        <v>0.98220671928882131</v>
      </c>
      <c r="AB77" s="84">
        <f t="shared" si="42"/>
        <v>0.98331884152887161</v>
      </c>
      <c r="AC77" s="84">
        <f t="shared" si="42"/>
        <v>0.98306041500645525</v>
      </c>
      <c r="AD77" s="84">
        <f t="shared" si="42"/>
        <v>0.98220448457778264</v>
      </c>
      <c r="AE77" s="84">
        <f t="shared" si="42"/>
        <v>0.9838865804361665</v>
      </c>
      <c r="AF77" s="84">
        <f t="shared" si="42"/>
        <v>0.98275132925586717</v>
      </c>
      <c r="AG77" s="84">
        <f t="shared" si="42"/>
        <v>0.98214143443169932</v>
      </c>
      <c r="AH77" s="84">
        <f t="shared" si="42"/>
        <v>0.98279681107888073</v>
      </c>
      <c r="AI77" s="84">
        <f t="shared" si="42"/>
        <v>0.98269040395035456</v>
      </c>
      <c r="AJ77" s="84">
        <f t="shared" si="42"/>
        <v>0.98296636893601186</v>
      </c>
      <c r="AK77" s="84">
        <f t="shared" si="42"/>
        <v>0.98212569600925881</v>
      </c>
      <c r="AL77" s="84">
        <f t="shared" si="42"/>
        <v>0.98318108309598518</v>
      </c>
      <c r="AM77" s="84">
        <f t="shared" si="42"/>
        <v>0.98216337850731317</v>
      </c>
      <c r="AN77" s="84">
        <f t="shared" si="42"/>
        <v>0.98159744997975829</v>
      </c>
      <c r="AO77" s="84">
        <f t="shared" si="42"/>
        <v>0.98303608151224287</v>
      </c>
      <c r="AP77" s="84">
        <f t="shared" si="42"/>
        <v>0.9833225020842572</v>
      </c>
      <c r="AQ77" s="84">
        <f t="shared" si="42"/>
        <v>0.98249994176184652</v>
      </c>
      <c r="AR77" s="84">
        <f t="shared" si="42"/>
        <v>0.98270197597688325</v>
      </c>
      <c r="AS77" s="84">
        <f t="shared" si="42"/>
        <v>0.98236906254473788</v>
      </c>
      <c r="AT77" s="84">
        <f t="shared" si="42"/>
        <v>0.98232078006356915</v>
      </c>
      <c r="AU77" s="84">
        <f t="shared" si="42"/>
        <v>0.98306530732750297</v>
      </c>
      <c r="AV77" s="84">
        <f t="shared" si="42"/>
        <v>0.98374628983844215</v>
      </c>
      <c r="AW77" s="84">
        <f t="shared" si="42"/>
        <v>0.98690180793699167</v>
      </c>
      <c r="AX77" s="84">
        <f t="shared" si="42"/>
        <v>0.98397436870372101</v>
      </c>
      <c r="AY77" s="84">
        <f t="shared" si="42"/>
        <v>0.98216818029619624</v>
      </c>
      <c r="AZ77" s="84">
        <f t="shared" si="42"/>
        <v>0.98297827874310573</v>
      </c>
      <c r="BA77" s="84">
        <f t="shared" si="42"/>
        <v>0.9821201727484139</v>
      </c>
      <c r="BB77" s="84">
        <f t="shared" si="42"/>
        <v>0.98283320789911022</v>
      </c>
      <c r="BC77" s="84">
        <f t="shared" si="42"/>
        <v>0.9822742218562498</v>
      </c>
      <c r="BD77" s="84">
        <f t="shared" si="42"/>
        <v>0.98272823687378152</v>
      </c>
      <c r="BE77" s="84">
        <f t="shared" si="42"/>
        <v>0.98353476284356411</v>
      </c>
      <c r="BF77" s="84">
        <f t="shared" si="42"/>
        <v>0.9842370408928669</v>
      </c>
      <c r="BG77" s="84">
        <f t="shared" si="42"/>
        <v>0.98335110810404625</v>
      </c>
      <c r="BH77" s="84">
        <f t="shared" si="42"/>
        <v>0.9825480356035341</v>
      </c>
      <c r="BI77" s="84">
        <f t="shared" si="42"/>
        <v>0.98109110464051585</v>
      </c>
      <c r="BJ77" s="84">
        <f t="shared" si="42"/>
        <v>0.98340930675967364</v>
      </c>
      <c r="BK77" s="84">
        <f t="shared" si="42"/>
        <v>0.98366497562664623</v>
      </c>
      <c r="BL77" s="84">
        <f t="shared" si="42"/>
        <v>0.98151172239873308</v>
      </c>
      <c r="BM77" s="84">
        <f t="shared" si="42"/>
        <v>0.98370864462680885</v>
      </c>
      <c r="BN77" s="84">
        <f t="shared" si="42"/>
        <v>0.98306686089614748</v>
      </c>
      <c r="BO77" s="84">
        <f t="shared" si="42"/>
        <v>0.98353114198398006</v>
      </c>
      <c r="BP77" s="84">
        <f t="shared" si="42"/>
        <v>0.9831055059430277</v>
      </c>
      <c r="BQ77" s="84">
        <f t="shared" ref="BQ77:BX77" si="43">BQ66/(BQ67+BQ66)</f>
        <v>0.98312929755437761</v>
      </c>
      <c r="BR77" s="84">
        <f t="shared" si="43"/>
        <v>0.98396251731931594</v>
      </c>
      <c r="BS77" s="84">
        <f t="shared" si="43"/>
        <v>0.9840676403482187</v>
      </c>
      <c r="BT77" s="84">
        <f t="shared" si="43"/>
        <v>0.98059492664217351</v>
      </c>
      <c r="BU77" s="84">
        <f t="shared" si="43"/>
        <v>0.98256327395190923</v>
      </c>
      <c r="BV77" s="84">
        <f t="shared" si="43"/>
        <v>0.9817524663620838</v>
      </c>
      <c r="BW77" s="84">
        <f t="shared" si="43"/>
        <v>0.98283060735512129</v>
      </c>
      <c r="BX77" s="85">
        <f>AVERAGE(I77:BW77)</f>
        <v>0.9828221877891623</v>
      </c>
    </row>
    <row r="78" spans="1:86" x14ac:dyDescent="0.2">
      <c r="A78" s="37"/>
      <c r="B78" s="29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5"/>
    </row>
    <row r="79" spans="1:86" x14ac:dyDescent="0.2">
      <c r="A79" s="37" t="s">
        <v>140</v>
      </c>
      <c r="B79" s="29" t="s">
        <v>141</v>
      </c>
      <c r="C79" s="84">
        <f>C58/(C60+C61)</f>
        <v>0.94910609835246351</v>
      </c>
      <c r="D79" s="84">
        <f t="shared" ref="D79:BO79" si="44">D58/(D60+D61)</f>
        <v>0.93546233158770131</v>
      </c>
      <c r="E79" s="84">
        <f t="shared" si="44"/>
        <v>0.93407769108531435</v>
      </c>
      <c r="F79" s="84">
        <f t="shared" si="44"/>
        <v>0.92872030473886313</v>
      </c>
      <c r="G79" s="84">
        <f t="shared" si="44"/>
        <v>0.94404415463624203</v>
      </c>
      <c r="H79" s="84">
        <f t="shared" si="44"/>
        <v>0.94826015112688034</v>
      </c>
      <c r="I79" s="84">
        <f t="shared" si="44"/>
        <v>0.93273101278110349</v>
      </c>
      <c r="J79" s="84">
        <f t="shared" si="44"/>
        <v>0.95203349755441946</v>
      </c>
      <c r="K79" s="84">
        <f t="shared" si="44"/>
        <v>0.94823989254687113</v>
      </c>
      <c r="L79" s="84">
        <f t="shared" si="44"/>
        <v>0.95060095835670022</v>
      </c>
      <c r="M79" s="84">
        <f t="shared" si="44"/>
        <v>0.94485864897105121</v>
      </c>
      <c r="N79" s="84">
        <f t="shared" si="44"/>
        <v>0.9499416380321245</v>
      </c>
      <c r="O79" s="84">
        <f t="shared" si="44"/>
        <v>0.9472000589001307</v>
      </c>
      <c r="P79" s="84">
        <f t="shared" si="44"/>
        <v>0.94883825335309435</v>
      </c>
      <c r="Q79" s="84">
        <f t="shared" si="44"/>
        <v>0.93816460473203489</v>
      </c>
      <c r="R79" s="84">
        <f t="shared" si="44"/>
        <v>0.94039421156178782</v>
      </c>
      <c r="S79" s="84">
        <f t="shared" si="44"/>
        <v>0.94056388168841443</v>
      </c>
      <c r="T79" s="84">
        <f t="shared" si="44"/>
        <v>0.93995387705474376</v>
      </c>
      <c r="U79" s="84">
        <f t="shared" si="44"/>
        <v>0.94278744560227024</v>
      </c>
      <c r="V79" s="84">
        <f t="shared" si="44"/>
        <v>0.94386160760896587</v>
      </c>
      <c r="W79" s="84">
        <f t="shared" si="44"/>
        <v>0.94101583852075599</v>
      </c>
      <c r="X79" s="84">
        <f t="shared" si="44"/>
        <v>0.94780277170553517</v>
      </c>
      <c r="Y79" s="84">
        <f t="shared" si="44"/>
        <v>0.94225923779492948</v>
      </c>
      <c r="Z79" s="84">
        <f t="shared" si="44"/>
        <v>0.94756068679261618</v>
      </c>
      <c r="AA79" s="84">
        <f t="shared" si="44"/>
        <v>0.94402954080401602</v>
      </c>
      <c r="AB79" s="84">
        <f t="shared" si="44"/>
        <v>0.94629782004460505</v>
      </c>
      <c r="AC79" s="84">
        <f t="shared" si="44"/>
        <v>0.95065313455949063</v>
      </c>
      <c r="AD79" s="84">
        <f t="shared" si="44"/>
        <v>0.94760662931664019</v>
      </c>
      <c r="AE79" s="84">
        <f t="shared" si="44"/>
        <v>0.94487615348404885</v>
      </c>
      <c r="AF79" s="84">
        <f t="shared" si="44"/>
        <v>0.94338055232458395</v>
      </c>
      <c r="AG79" s="84">
        <f t="shared" si="44"/>
        <v>0.93966118438815815</v>
      </c>
      <c r="AH79" s="84">
        <f t="shared" si="44"/>
        <v>0.94413152899772335</v>
      </c>
      <c r="AI79" s="84">
        <f t="shared" si="44"/>
        <v>0.94280371468637258</v>
      </c>
      <c r="AJ79" s="84">
        <f t="shared" si="44"/>
        <v>0.9482009386718393</v>
      </c>
      <c r="AK79" s="84">
        <f t="shared" si="44"/>
        <v>0.94388069802428187</v>
      </c>
      <c r="AL79" s="84">
        <f t="shared" si="44"/>
        <v>0.94997597952674595</v>
      </c>
      <c r="AM79" s="84">
        <f t="shared" si="44"/>
        <v>0.94456920274439049</v>
      </c>
      <c r="AN79" s="84">
        <f t="shared" si="44"/>
        <v>0.94012322175948204</v>
      </c>
      <c r="AO79" s="84">
        <f t="shared" si="44"/>
        <v>0.94725121866868789</v>
      </c>
      <c r="AP79" s="84">
        <f t="shared" si="44"/>
        <v>0.94519327238303397</v>
      </c>
      <c r="AQ79" s="84">
        <f t="shared" si="44"/>
        <v>0.94235119217422791</v>
      </c>
      <c r="AR79" s="84">
        <f t="shared" si="44"/>
        <v>0.94600581342093937</v>
      </c>
      <c r="AS79" s="84">
        <f t="shared" si="44"/>
        <v>0.94326104629970975</v>
      </c>
      <c r="AT79" s="84">
        <f t="shared" si="44"/>
        <v>0.94130054850386413</v>
      </c>
      <c r="AU79" s="84">
        <f t="shared" si="44"/>
        <v>0.94374164289664564</v>
      </c>
      <c r="AV79" s="84">
        <f t="shared" si="44"/>
        <v>0.94340427624345624</v>
      </c>
      <c r="AW79" s="84">
        <f t="shared" si="44"/>
        <v>0.96808495497081515</v>
      </c>
      <c r="AX79" s="84">
        <f t="shared" si="44"/>
        <v>0.94653596615720526</v>
      </c>
      <c r="AY79" s="84">
        <f t="shared" si="44"/>
        <v>0.94340889315246657</v>
      </c>
      <c r="AZ79" s="84">
        <f t="shared" si="44"/>
        <v>0.94180080992286019</v>
      </c>
      <c r="BA79" s="84">
        <f t="shared" si="44"/>
        <v>0.94890299273377043</v>
      </c>
      <c r="BB79" s="84">
        <f t="shared" si="44"/>
        <v>0.94487159603458859</v>
      </c>
      <c r="BC79" s="84">
        <f t="shared" si="44"/>
        <v>0.9408475573749121</v>
      </c>
      <c r="BD79" s="84">
        <f t="shared" si="44"/>
        <v>0.94300811783475424</v>
      </c>
      <c r="BE79" s="84">
        <f t="shared" si="44"/>
        <v>0.94535054281516429</v>
      </c>
      <c r="BF79" s="84">
        <f t="shared" si="44"/>
        <v>0.94790428411827443</v>
      </c>
      <c r="BG79" s="84">
        <f t="shared" si="44"/>
        <v>0.94338289263684572</v>
      </c>
      <c r="BH79" s="84">
        <f t="shared" si="44"/>
        <v>0.94600422701385911</v>
      </c>
      <c r="BI79" s="84">
        <f t="shared" si="44"/>
        <v>0.93903663289409767</v>
      </c>
      <c r="BJ79" s="84">
        <f t="shared" si="44"/>
        <v>0.94241415582952526</v>
      </c>
      <c r="BK79" s="84">
        <f t="shared" si="44"/>
        <v>0.94269548398826242</v>
      </c>
      <c r="BL79" s="84">
        <f t="shared" si="44"/>
        <v>0.94224114886617416</v>
      </c>
      <c r="BM79" s="84">
        <f t="shared" si="44"/>
        <v>0.9451006470007689</v>
      </c>
      <c r="BN79" s="84">
        <f t="shared" si="44"/>
        <v>0.94314885095236667</v>
      </c>
      <c r="BO79" s="84">
        <f t="shared" si="44"/>
        <v>0.94182463266730931</v>
      </c>
      <c r="BP79" s="84">
        <f t="shared" ref="BP79:BX79" si="45">BP58/(BP60+BP61)</f>
        <v>0.94690045213095675</v>
      </c>
      <c r="BQ79" s="84">
        <f t="shared" si="45"/>
        <v>0.94205724080821884</v>
      </c>
      <c r="BR79" s="84">
        <f t="shared" si="45"/>
        <v>0.94662921185074467</v>
      </c>
      <c r="BS79" s="84">
        <f t="shared" si="45"/>
        <v>0.95096123890730855</v>
      </c>
      <c r="BT79" s="84">
        <f t="shared" si="45"/>
        <v>0.94130486882474673</v>
      </c>
      <c r="BU79" s="84">
        <f t="shared" si="45"/>
        <v>0.94031742025095477</v>
      </c>
      <c r="BV79" s="84">
        <f t="shared" si="45"/>
        <v>0.94811093250714817</v>
      </c>
      <c r="BW79" s="84">
        <f t="shared" si="45"/>
        <v>0.94665167341551926</v>
      </c>
      <c r="BX79" s="85">
        <f>AVERAGE(I79:BW79)</f>
        <v>0.9447911173005985</v>
      </c>
    </row>
    <row r="80" spans="1:86" x14ac:dyDescent="0.2">
      <c r="A80" s="37" t="s">
        <v>142</v>
      </c>
      <c r="B80" s="29" t="s">
        <v>143</v>
      </c>
      <c r="C80" s="84">
        <f>C64/(C66+C67)</f>
        <v>0.94552391717303741</v>
      </c>
      <c r="D80" s="84">
        <f t="shared" ref="D80:BO80" si="46">D64/(D66+D67)</f>
        <v>0.93510307487279631</v>
      </c>
      <c r="E80" s="84">
        <f t="shared" si="46"/>
        <v>0.93252432816871345</v>
      </c>
      <c r="F80" s="84">
        <f t="shared" si="46"/>
        <v>0.92792493507447993</v>
      </c>
      <c r="G80" s="84">
        <f t="shared" si="46"/>
        <v>0.94143085502141732</v>
      </c>
      <c r="H80" s="84">
        <f t="shared" si="46"/>
        <v>0.94596005899013857</v>
      </c>
      <c r="I80" s="84">
        <f t="shared" si="46"/>
        <v>0.9319465725176016</v>
      </c>
      <c r="J80" s="84">
        <f t="shared" si="46"/>
        <v>0.94802541942004703</v>
      </c>
      <c r="K80" s="84">
        <f t="shared" si="46"/>
        <v>0.94426624722891439</v>
      </c>
      <c r="L80" s="84">
        <f t="shared" si="46"/>
        <v>0.94654584953350551</v>
      </c>
      <c r="M80" s="84">
        <f t="shared" si="46"/>
        <v>0.94383721285330691</v>
      </c>
      <c r="N80" s="84">
        <f t="shared" si="46"/>
        <v>0.94631374374245447</v>
      </c>
      <c r="O80" s="84">
        <f t="shared" si="46"/>
        <v>0.94454459883183228</v>
      </c>
      <c r="P80" s="84">
        <f t="shared" si="46"/>
        <v>0.94592175024919034</v>
      </c>
      <c r="Q80" s="84">
        <f t="shared" si="46"/>
        <v>0.93826686601310128</v>
      </c>
      <c r="R80" s="84">
        <f t="shared" si="46"/>
        <v>0.93751796957043287</v>
      </c>
      <c r="S80" s="84">
        <f t="shared" si="46"/>
        <v>0.93840663201084085</v>
      </c>
      <c r="T80" s="84">
        <f t="shared" si="46"/>
        <v>0.93890597762739236</v>
      </c>
      <c r="U80" s="84">
        <f t="shared" si="46"/>
        <v>0.93926155305942582</v>
      </c>
      <c r="V80" s="84">
        <f t="shared" si="46"/>
        <v>0.94120127529350694</v>
      </c>
      <c r="W80" s="84">
        <f t="shared" si="46"/>
        <v>0.93847967649367892</v>
      </c>
      <c r="X80" s="84">
        <f t="shared" si="46"/>
        <v>0.94397524312224257</v>
      </c>
      <c r="Y80" s="84">
        <f t="shared" si="46"/>
        <v>0.93975795704361875</v>
      </c>
      <c r="Z80" s="84">
        <f t="shared" si="46"/>
        <v>0.9453625833356456</v>
      </c>
      <c r="AA80" s="84">
        <f t="shared" si="46"/>
        <v>0.94249386473953534</v>
      </c>
      <c r="AB80" s="84">
        <f t="shared" si="46"/>
        <v>0.94262405562084894</v>
      </c>
      <c r="AC80" s="84">
        <f t="shared" si="46"/>
        <v>0.94580944219042373</v>
      </c>
      <c r="AD80" s="84">
        <f t="shared" si="46"/>
        <v>0.9431292639937755</v>
      </c>
      <c r="AE80" s="84">
        <f t="shared" si="46"/>
        <v>0.94281219397829685</v>
      </c>
      <c r="AF80" s="84">
        <f t="shared" si="46"/>
        <v>0.94093918143482047</v>
      </c>
      <c r="AG80" s="84">
        <f t="shared" si="46"/>
        <v>0.93700108053288345</v>
      </c>
      <c r="AH80" s="84">
        <f t="shared" si="46"/>
        <v>0.94092978074652778</v>
      </c>
      <c r="AI80" s="84">
        <f t="shared" si="46"/>
        <v>0.94050025830147643</v>
      </c>
      <c r="AJ80" s="84">
        <f t="shared" si="46"/>
        <v>0.94518245228430375</v>
      </c>
      <c r="AK80" s="84">
        <f t="shared" si="46"/>
        <v>0.94035070659025921</v>
      </c>
      <c r="AL80" s="84">
        <f t="shared" si="46"/>
        <v>0.94614371209400894</v>
      </c>
      <c r="AM80" s="84">
        <f t="shared" si="46"/>
        <v>0.94039889211637773</v>
      </c>
      <c r="AN80" s="84">
        <f t="shared" si="46"/>
        <v>0.93732093905612746</v>
      </c>
      <c r="AO80" s="84">
        <f t="shared" si="46"/>
        <v>0.94363819628712597</v>
      </c>
      <c r="AP80" s="84">
        <f t="shared" si="46"/>
        <v>0.94246966707104018</v>
      </c>
      <c r="AQ80" s="84">
        <f t="shared" si="46"/>
        <v>0.94039875124457084</v>
      </c>
      <c r="AR80" s="84">
        <f t="shared" si="46"/>
        <v>0.94265895376573106</v>
      </c>
      <c r="AS80" s="84">
        <f t="shared" si="46"/>
        <v>0.93994604590384734</v>
      </c>
      <c r="AT80" s="84">
        <f t="shared" si="46"/>
        <v>0.93860711262276109</v>
      </c>
      <c r="AU80" s="84">
        <f t="shared" si="46"/>
        <v>0.94171259290033826</v>
      </c>
      <c r="AV80" s="84">
        <f t="shared" si="46"/>
        <v>0.9415650062892853</v>
      </c>
      <c r="AW80" s="84">
        <f t="shared" si="46"/>
        <v>0.96663970079743144</v>
      </c>
      <c r="AX80" s="84">
        <f t="shared" si="46"/>
        <v>0.94409570983361613</v>
      </c>
      <c r="AY80" s="84">
        <f t="shared" si="46"/>
        <v>0.93968686352122366</v>
      </c>
      <c r="AZ80" s="84">
        <f t="shared" si="46"/>
        <v>0.94024590462633084</v>
      </c>
      <c r="BA80" s="84">
        <f t="shared" si="46"/>
        <v>0.94453244912507583</v>
      </c>
      <c r="BB80" s="84">
        <f t="shared" si="46"/>
        <v>0.94192719861424912</v>
      </c>
      <c r="BC80" s="84">
        <f t="shared" si="46"/>
        <v>0.93856230160370546</v>
      </c>
      <c r="BD80" s="84">
        <f t="shared" si="46"/>
        <v>0.94037642642064301</v>
      </c>
      <c r="BE80" s="84">
        <f t="shared" si="46"/>
        <v>0.94157968058746644</v>
      </c>
      <c r="BF80" s="84">
        <f t="shared" si="46"/>
        <v>0.94479292983053187</v>
      </c>
      <c r="BG80" s="84">
        <f t="shared" si="46"/>
        <v>0.94115757952161627</v>
      </c>
      <c r="BH80" s="84">
        <f t="shared" si="46"/>
        <v>0.9422972010297046</v>
      </c>
      <c r="BI80" s="84">
        <f t="shared" si="46"/>
        <v>0.93714270141563483</v>
      </c>
      <c r="BJ80" s="84">
        <f t="shared" si="46"/>
        <v>0.93983164990855494</v>
      </c>
      <c r="BK80" s="84">
        <f t="shared" si="46"/>
        <v>0.94067025381612468</v>
      </c>
      <c r="BL80" s="84">
        <f t="shared" si="46"/>
        <v>0.93897363682054313</v>
      </c>
      <c r="BM80" s="84">
        <f t="shared" si="46"/>
        <v>0.94348869102498745</v>
      </c>
      <c r="BN80" s="84">
        <f t="shared" si="46"/>
        <v>0.94131774242839028</v>
      </c>
      <c r="BO80" s="84">
        <f t="shared" si="46"/>
        <v>0.94037103864807747</v>
      </c>
      <c r="BP80" s="84">
        <f t="shared" ref="BP80:BX80" si="47">BP64/(BP66+BP67)</f>
        <v>0.94480846021706455</v>
      </c>
      <c r="BQ80" s="84">
        <f t="shared" si="47"/>
        <v>0.94210764146691761</v>
      </c>
      <c r="BR80" s="84">
        <f t="shared" si="47"/>
        <v>0.94492164263159262</v>
      </c>
      <c r="BS80" s="84">
        <f t="shared" si="47"/>
        <v>0.94619827777247678</v>
      </c>
      <c r="BT80" s="84">
        <f t="shared" si="47"/>
        <v>0.93725185900176577</v>
      </c>
      <c r="BU80" s="84">
        <f t="shared" si="47"/>
        <v>0.93862264261644046</v>
      </c>
      <c r="BV80" s="84">
        <f t="shared" si="47"/>
        <v>0.94370763808669345</v>
      </c>
      <c r="BW80" s="84">
        <f t="shared" si="47"/>
        <v>0.94358325045818858</v>
      </c>
      <c r="BX80" s="85">
        <f>AVERAGE(I80:BW80)</f>
        <v>0.9420606022318827</v>
      </c>
    </row>
    <row r="81" spans="1:2" ht="17" thickBot="1" x14ac:dyDescent="0.25"/>
    <row r="82" spans="1:2" ht="17" thickBot="1" x14ac:dyDescent="0.25">
      <c r="A82" s="88" t="s">
        <v>144</v>
      </c>
      <c r="B82" s="89">
        <v>73</v>
      </c>
    </row>
  </sheetData>
  <conditionalFormatting sqref="A60:A61 A57:A58">
    <cfRule type="duplicateValues" dxfId="2" priority="2"/>
  </conditionalFormatting>
  <conditionalFormatting sqref="C57:BS58 BY50 CH49:CH50 BT58:BW58">
    <cfRule type="duplicateValues" dxfId="1" priority="1"/>
  </conditionalFormatting>
  <conditionalFormatting sqref="C64:BW64 CH5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samtools-combined-filtered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Folland</dc:creator>
  <cp:lastModifiedBy>Chiara Folland</cp:lastModifiedBy>
  <dcterms:created xsi:type="dcterms:W3CDTF">2026-01-06T01:40:10Z</dcterms:created>
  <dcterms:modified xsi:type="dcterms:W3CDTF">2026-01-06T01:40:56Z</dcterms:modified>
</cp:coreProperties>
</file>