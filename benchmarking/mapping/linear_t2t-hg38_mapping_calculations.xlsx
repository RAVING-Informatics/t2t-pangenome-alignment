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wa-my.sharepoint.com/personal/00104561_uwa_edu_au/Documents/Research/Projects/AIM1_DATA-REANALYSIS/t2t-realignment/benchmark/mapping/data/"/>
    </mc:Choice>
  </mc:AlternateContent>
  <xr:revisionPtr revIDLastSave="0" documentId="8_{84BA89BB-3BB7-D44A-BAF3-E869C51D2A98}" xr6:coauthVersionLast="47" xr6:coauthVersionMax="47" xr10:uidLastSave="{00000000-0000-0000-0000-000000000000}"/>
  <bookViews>
    <workbookView xWindow="5980" yWindow="2800" windowWidth="27240" windowHeight="16440" xr2:uid="{9AF897EC-8027-3B43-9449-016A9F3A5C0D}"/>
  </bookViews>
  <sheets>
    <sheet name="mapping_combined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U79" i="1" l="1"/>
  <c r="BT79" i="1"/>
  <c r="BM79" i="1"/>
  <c r="BL79" i="1"/>
  <c r="BE79" i="1"/>
  <c r="BD79" i="1"/>
  <c r="AW79" i="1"/>
  <c r="AV79" i="1"/>
  <c r="AO79" i="1"/>
  <c r="AN79" i="1"/>
  <c r="AG79" i="1"/>
  <c r="AF79" i="1"/>
  <c r="Y79" i="1"/>
  <c r="X79" i="1"/>
  <c r="Q79" i="1"/>
  <c r="P79" i="1"/>
  <c r="I79" i="1"/>
  <c r="H79" i="1"/>
  <c r="BT78" i="1"/>
  <c r="BS78" i="1"/>
  <c r="BR78" i="1"/>
  <c r="BL78" i="1"/>
  <c r="BK78" i="1"/>
  <c r="BJ78" i="1"/>
  <c r="BI78" i="1"/>
  <c r="BD78" i="1"/>
  <c r="BC78" i="1"/>
  <c r="BB78" i="1"/>
  <c r="BA78" i="1"/>
  <c r="AV78" i="1"/>
  <c r="AU78" i="1"/>
  <c r="AT78" i="1"/>
  <c r="AS78" i="1"/>
  <c r="AN78" i="1"/>
  <c r="AM78" i="1"/>
  <c r="AL78" i="1"/>
  <c r="AK78" i="1"/>
  <c r="AF78" i="1"/>
  <c r="AE78" i="1"/>
  <c r="AD78" i="1"/>
  <c r="AC78" i="1"/>
  <c r="X78" i="1"/>
  <c r="W78" i="1"/>
  <c r="V78" i="1"/>
  <c r="U78" i="1"/>
  <c r="P78" i="1"/>
  <c r="O78" i="1"/>
  <c r="N78" i="1"/>
  <c r="M78" i="1"/>
  <c r="H78" i="1"/>
  <c r="G78" i="1"/>
  <c r="F78" i="1"/>
  <c r="E78" i="1"/>
  <c r="BV76" i="1"/>
  <c r="BU76" i="1"/>
  <c r="BT76" i="1"/>
  <c r="BN76" i="1"/>
  <c r="BM76" i="1"/>
  <c r="BL76" i="1"/>
  <c r="BF76" i="1"/>
  <c r="BE76" i="1"/>
  <c r="BD76" i="1"/>
  <c r="AX76" i="1"/>
  <c r="AW76" i="1"/>
  <c r="AV76" i="1"/>
  <c r="AP76" i="1"/>
  <c r="AO76" i="1"/>
  <c r="AN76" i="1"/>
  <c r="AH76" i="1"/>
  <c r="AG76" i="1"/>
  <c r="AF76" i="1"/>
  <c r="Z76" i="1"/>
  <c r="Y76" i="1"/>
  <c r="X76" i="1"/>
  <c r="R76" i="1"/>
  <c r="Q76" i="1"/>
  <c r="P76" i="1"/>
  <c r="J76" i="1"/>
  <c r="I76" i="1"/>
  <c r="H76" i="1"/>
  <c r="BT75" i="1"/>
  <c r="BS75" i="1"/>
  <c r="BR75" i="1"/>
  <c r="BQ75" i="1"/>
  <c r="BL75" i="1"/>
  <c r="BK75" i="1"/>
  <c r="BJ75" i="1"/>
  <c r="BI75" i="1"/>
  <c r="BD75" i="1"/>
  <c r="BC75" i="1"/>
  <c r="BB75" i="1"/>
  <c r="BA75" i="1"/>
  <c r="AV75" i="1"/>
  <c r="AU75" i="1"/>
  <c r="AT75" i="1"/>
  <c r="AS75" i="1"/>
  <c r="AN75" i="1"/>
  <c r="AM75" i="1"/>
  <c r="AL75" i="1"/>
  <c r="AK75" i="1"/>
  <c r="AF75" i="1"/>
  <c r="AE75" i="1"/>
  <c r="AD75" i="1"/>
  <c r="AC75" i="1"/>
  <c r="X75" i="1"/>
  <c r="W75" i="1"/>
  <c r="V75" i="1"/>
  <c r="U75" i="1"/>
  <c r="P75" i="1"/>
  <c r="O75" i="1"/>
  <c r="N75" i="1"/>
  <c r="M75" i="1"/>
  <c r="H75" i="1"/>
  <c r="G75" i="1"/>
  <c r="F75" i="1"/>
  <c r="E75" i="1"/>
  <c r="BV73" i="1"/>
  <c r="BU73" i="1"/>
  <c r="BT73" i="1"/>
  <c r="BN73" i="1"/>
  <c r="BM73" i="1"/>
  <c r="BL73" i="1"/>
  <c r="BF73" i="1"/>
  <c r="BE73" i="1"/>
  <c r="BD73" i="1"/>
  <c r="AX73" i="1"/>
  <c r="AW73" i="1"/>
  <c r="AV73" i="1"/>
  <c r="AP73" i="1"/>
  <c r="AO73" i="1"/>
  <c r="AN73" i="1"/>
  <c r="AH73" i="1"/>
  <c r="AG73" i="1"/>
  <c r="AF73" i="1"/>
  <c r="Z73" i="1"/>
  <c r="Y73" i="1"/>
  <c r="X73" i="1"/>
  <c r="R73" i="1"/>
  <c r="Q73" i="1"/>
  <c r="P73" i="1"/>
  <c r="J73" i="1"/>
  <c r="I73" i="1"/>
  <c r="H73" i="1"/>
  <c r="BT72" i="1"/>
  <c r="BS72" i="1"/>
  <c r="BR72" i="1"/>
  <c r="BQ72" i="1"/>
  <c r="BL72" i="1"/>
  <c r="BK72" i="1"/>
  <c r="BJ72" i="1"/>
  <c r="BI72" i="1"/>
  <c r="BD72" i="1"/>
  <c r="BC72" i="1"/>
  <c r="BB72" i="1"/>
  <c r="BA72" i="1"/>
  <c r="AV72" i="1"/>
  <c r="AU72" i="1"/>
  <c r="AT72" i="1"/>
  <c r="AS72" i="1"/>
  <c r="AN72" i="1"/>
  <c r="AM72" i="1"/>
  <c r="AL72" i="1"/>
  <c r="AK72" i="1"/>
  <c r="AF72" i="1"/>
  <c r="AE72" i="1"/>
  <c r="AD72" i="1"/>
  <c r="AC72" i="1"/>
  <c r="X72" i="1"/>
  <c r="W72" i="1"/>
  <c r="V72" i="1"/>
  <c r="U72" i="1"/>
  <c r="P72" i="1"/>
  <c r="O72" i="1"/>
  <c r="N72" i="1"/>
  <c r="M72" i="1"/>
  <c r="H72" i="1"/>
  <c r="G72" i="1"/>
  <c r="F72" i="1"/>
  <c r="E72" i="1"/>
  <c r="BV70" i="1"/>
  <c r="BU70" i="1"/>
  <c r="BT70" i="1"/>
  <c r="BN70" i="1"/>
  <c r="BM70" i="1"/>
  <c r="BL70" i="1"/>
  <c r="BF70" i="1"/>
  <c r="BE70" i="1"/>
  <c r="BD70" i="1"/>
  <c r="AX70" i="1"/>
  <c r="AW70" i="1"/>
  <c r="AV70" i="1"/>
  <c r="AP70" i="1"/>
  <c r="AO70" i="1"/>
  <c r="AN70" i="1"/>
  <c r="AH70" i="1"/>
  <c r="AG70" i="1"/>
  <c r="AF70" i="1"/>
  <c r="Z70" i="1"/>
  <c r="Y70" i="1"/>
  <c r="X70" i="1"/>
  <c r="R70" i="1"/>
  <c r="Q70" i="1"/>
  <c r="P70" i="1"/>
  <c r="J70" i="1"/>
  <c r="I70" i="1"/>
  <c r="H70" i="1"/>
  <c r="CM69" i="1"/>
  <c r="BT69" i="1"/>
  <c r="BS69" i="1"/>
  <c r="BR69" i="1"/>
  <c r="BQ69" i="1"/>
  <c r="BL69" i="1"/>
  <c r="BK69" i="1"/>
  <c r="BJ69" i="1"/>
  <c r="BI69" i="1"/>
  <c r="BD69" i="1"/>
  <c r="BC69" i="1"/>
  <c r="BB69" i="1"/>
  <c r="BA69" i="1"/>
  <c r="AV69" i="1"/>
  <c r="AU69" i="1"/>
  <c r="AT69" i="1"/>
  <c r="AS69" i="1"/>
  <c r="AN69" i="1"/>
  <c r="AM69" i="1"/>
  <c r="AL69" i="1"/>
  <c r="AK69" i="1"/>
  <c r="AF69" i="1"/>
  <c r="AE69" i="1"/>
  <c r="AD69" i="1"/>
  <c r="AC69" i="1"/>
  <c r="X69" i="1"/>
  <c r="W69" i="1"/>
  <c r="V69" i="1"/>
  <c r="U69" i="1"/>
  <c r="P69" i="1"/>
  <c r="O69" i="1"/>
  <c r="N69" i="1"/>
  <c r="M69" i="1"/>
  <c r="H69" i="1"/>
  <c r="G69" i="1"/>
  <c r="F69" i="1"/>
  <c r="E69" i="1"/>
  <c r="CM68" i="1"/>
  <c r="BW68" i="1"/>
  <c r="BV68" i="1"/>
  <c r="BU68" i="1"/>
  <c r="BT68" i="1"/>
  <c r="BS68" i="1"/>
  <c r="BR68" i="1"/>
  <c r="BQ68" i="1"/>
  <c r="BP68" i="1"/>
  <c r="BO68" i="1"/>
  <c r="BN68" i="1"/>
  <c r="BM68" i="1"/>
  <c r="BL68" i="1"/>
  <c r="BK68" i="1"/>
  <c r="BJ68" i="1"/>
  <c r="BI68" i="1"/>
  <c r="BH68" i="1"/>
  <c r="BG68" i="1"/>
  <c r="BF68" i="1"/>
  <c r="BE68" i="1"/>
  <c r="BD68" i="1"/>
  <c r="BC68" i="1"/>
  <c r="BB68" i="1"/>
  <c r="BA68" i="1"/>
  <c r="AZ68" i="1"/>
  <c r="AY68" i="1"/>
  <c r="AX68" i="1"/>
  <c r="AW68" i="1"/>
  <c r="AV68" i="1"/>
  <c r="AU68" i="1"/>
  <c r="AT68" i="1"/>
  <c r="AS68" i="1"/>
  <c r="AR68" i="1"/>
  <c r="AQ68" i="1"/>
  <c r="AP68" i="1"/>
  <c r="AO68" i="1"/>
  <c r="AN68" i="1"/>
  <c r="AM68" i="1"/>
  <c r="AL68" i="1"/>
  <c r="AK68" i="1"/>
  <c r="AJ68" i="1"/>
  <c r="AI68" i="1"/>
  <c r="AH68" i="1"/>
  <c r="AG68" i="1"/>
  <c r="AF68" i="1"/>
  <c r="AE68" i="1"/>
  <c r="AD68" i="1"/>
  <c r="AC68" i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I68" i="1"/>
  <c r="H68" i="1"/>
  <c r="G68" i="1"/>
  <c r="F68" i="1"/>
  <c r="E68" i="1"/>
  <c r="D68" i="1"/>
  <c r="C68" i="1"/>
  <c r="BX66" i="1"/>
  <c r="CM65" i="1"/>
  <c r="CM79" i="1" s="1"/>
  <c r="BW65" i="1"/>
  <c r="BW79" i="1" s="1"/>
  <c r="BV65" i="1"/>
  <c r="BV79" i="1" s="1"/>
  <c r="BU65" i="1"/>
  <c r="BT65" i="1"/>
  <c r="BS65" i="1"/>
  <c r="BS79" i="1" s="1"/>
  <c r="BR65" i="1"/>
  <c r="BR79" i="1" s="1"/>
  <c r="BQ65" i="1"/>
  <c r="BQ79" i="1" s="1"/>
  <c r="BP65" i="1"/>
  <c r="BP79" i="1" s="1"/>
  <c r="BO65" i="1"/>
  <c r="BO79" i="1" s="1"/>
  <c r="BN65" i="1"/>
  <c r="BN79" i="1" s="1"/>
  <c r="BM65" i="1"/>
  <c r="BL65" i="1"/>
  <c r="BK65" i="1"/>
  <c r="BK79" i="1" s="1"/>
  <c r="BJ65" i="1"/>
  <c r="BJ79" i="1" s="1"/>
  <c r="BI65" i="1"/>
  <c r="BI79" i="1" s="1"/>
  <c r="BH65" i="1"/>
  <c r="BH79" i="1" s="1"/>
  <c r="BG65" i="1"/>
  <c r="BG79" i="1" s="1"/>
  <c r="BF65" i="1"/>
  <c r="BF79" i="1" s="1"/>
  <c r="BE65" i="1"/>
  <c r="BD65" i="1"/>
  <c r="BC65" i="1"/>
  <c r="BC79" i="1" s="1"/>
  <c r="BB65" i="1"/>
  <c r="BB79" i="1" s="1"/>
  <c r="BA65" i="1"/>
  <c r="BA79" i="1" s="1"/>
  <c r="AZ65" i="1"/>
  <c r="AZ79" i="1" s="1"/>
  <c r="AY65" i="1"/>
  <c r="AY79" i="1" s="1"/>
  <c r="AX65" i="1"/>
  <c r="AX79" i="1" s="1"/>
  <c r="AW65" i="1"/>
  <c r="AV65" i="1"/>
  <c r="AU65" i="1"/>
  <c r="AU79" i="1" s="1"/>
  <c r="AT65" i="1"/>
  <c r="AT79" i="1" s="1"/>
  <c r="AS65" i="1"/>
  <c r="AS79" i="1" s="1"/>
  <c r="AR65" i="1"/>
  <c r="AR79" i="1" s="1"/>
  <c r="AQ65" i="1"/>
  <c r="AQ79" i="1" s="1"/>
  <c r="AP65" i="1"/>
  <c r="AP79" i="1" s="1"/>
  <c r="AO65" i="1"/>
  <c r="AN65" i="1"/>
  <c r="AM65" i="1"/>
  <c r="AM79" i="1" s="1"/>
  <c r="AL65" i="1"/>
  <c r="AL79" i="1" s="1"/>
  <c r="AK65" i="1"/>
  <c r="AK79" i="1" s="1"/>
  <c r="AJ65" i="1"/>
  <c r="AJ79" i="1" s="1"/>
  <c r="AI65" i="1"/>
  <c r="AI79" i="1" s="1"/>
  <c r="AH65" i="1"/>
  <c r="AH79" i="1" s="1"/>
  <c r="AG65" i="1"/>
  <c r="AF65" i="1"/>
  <c r="AE65" i="1"/>
  <c r="AE79" i="1" s="1"/>
  <c r="AD65" i="1"/>
  <c r="AD79" i="1" s="1"/>
  <c r="AC65" i="1"/>
  <c r="AC79" i="1" s="1"/>
  <c r="AB65" i="1"/>
  <c r="AB79" i="1" s="1"/>
  <c r="AA65" i="1"/>
  <c r="AA79" i="1" s="1"/>
  <c r="Z65" i="1"/>
  <c r="Z79" i="1" s="1"/>
  <c r="Y65" i="1"/>
  <c r="X65" i="1"/>
  <c r="W65" i="1"/>
  <c r="W79" i="1" s="1"/>
  <c r="V65" i="1"/>
  <c r="V79" i="1" s="1"/>
  <c r="U65" i="1"/>
  <c r="U79" i="1" s="1"/>
  <c r="T65" i="1"/>
  <c r="T79" i="1" s="1"/>
  <c r="S65" i="1"/>
  <c r="S79" i="1" s="1"/>
  <c r="R65" i="1"/>
  <c r="R79" i="1" s="1"/>
  <c r="Q65" i="1"/>
  <c r="P65" i="1"/>
  <c r="O65" i="1"/>
  <c r="O79" i="1" s="1"/>
  <c r="N65" i="1"/>
  <c r="N79" i="1" s="1"/>
  <c r="M65" i="1"/>
  <c r="M79" i="1" s="1"/>
  <c r="L65" i="1"/>
  <c r="L79" i="1" s="1"/>
  <c r="K65" i="1"/>
  <c r="K79" i="1" s="1"/>
  <c r="J65" i="1"/>
  <c r="J79" i="1" s="1"/>
  <c r="I65" i="1"/>
  <c r="H65" i="1"/>
  <c r="G65" i="1"/>
  <c r="G79" i="1" s="1"/>
  <c r="F65" i="1"/>
  <c r="F79" i="1" s="1"/>
  <c r="E65" i="1"/>
  <c r="E79" i="1" s="1"/>
  <c r="D65" i="1"/>
  <c r="D79" i="1" s="1"/>
  <c r="C65" i="1"/>
  <c r="C79" i="1" s="1"/>
  <c r="BX64" i="1"/>
  <c r="BX63" i="1"/>
  <c r="BX60" i="1"/>
  <c r="CM59" i="1"/>
  <c r="CM78" i="1" s="1"/>
  <c r="BW59" i="1"/>
  <c r="BW78" i="1" s="1"/>
  <c r="BV59" i="1"/>
  <c r="BV78" i="1" s="1"/>
  <c r="BU59" i="1"/>
  <c r="BU78" i="1" s="1"/>
  <c r="BT59" i="1"/>
  <c r="BS59" i="1"/>
  <c r="BR59" i="1"/>
  <c r="BQ59" i="1"/>
  <c r="BQ78" i="1" s="1"/>
  <c r="BP59" i="1"/>
  <c r="BP78" i="1" s="1"/>
  <c r="BO59" i="1"/>
  <c r="BO78" i="1" s="1"/>
  <c r="BN59" i="1"/>
  <c r="BN78" i="1" s="1"/>
  <c r="BM59" i="1"/>
  <c r="BM78" i="1" s="1"/>
  <c r="BL59" i="1"/>
  <c r="BK59" i="1"/>
  <c r="BJ59" i="1"/>
  <c r="BI59" i="1"/>
  <c r="BH59" i="1"/>
  <c r="BH78" i="1" s="1"/>
  <c r="BG59" i="1"/>
  <c r="BG78" i="1" s="1"/>
  <c r="BF59" i="1"/>
  <c r="BF78" i="1" s="1"/>
  <c r="BE59" i="1"/>
  <c r="BE78" i="1" s="1"/>
  <c r="BD59" i="1"/>
  <c r="BC59" i="1"/>
  <c r="BB59" i="1"/>
  <c r="BA59" i="1"/>
  <c r="AZ59" i="1"/>
  <c r="AZ78" i="1" s="1"/>
  <c r="AY59" i="1"/>
  <c r="AY78" i="1" s="1"/>
  <c r="AX59" i="1"/>
  <c r="AX78" i="1" s="1"/>
  <c r="AW59" i="1"/>
  <c r="AW78" i="1" s="1"/>
  <c r="AV59" i="1"/>
  <c r="AU59" i="1"/>
  <c r="AT59" i="1"/>
  <c r="AS59" i="1"/>
  <c r="AR59" i="1"/>
  <c r="AR78" i="1" s="1"/>
  <c r="AQ59" i="1"/>
  <c r="AQ78" i="1" s="1"/>
  <c r="AP59" i="1"/>
  <c r="AP78" i="1" s="1"/>
  <c r="AO59" i="1"/>
  <c r="AO78" i="1" s="1"/>
  <c r="AN59" i="1"/>
  <c r="AM59" i="1"/>
  <c r="AL59" i="1"/>
  <c r="AK59" i="1"/>
  <c r="AJ59" i="1"/>
  <c r="AJ78" i="1" s="1"/>
  <c r="AI59" i="1"/>
  <c r="AI78" i="1" s="1"/>
  <c r="AH59" i="1"/>
  <c r="AH78" i="1" s="1"/>
  <c r="AG59" i="1"/>
  <c r="AG78" i="1" s="1"/>
  <c r="AF59" i="1"/>
  <c r="AE59" i="1"/>
  <c r="AD59" i="1"/>
  <c r="AC59" i="1"/>
  <c r="AB59" i="1"/>
  <c r="AB78" i="1" s="1"/>
  <c r="AA59" i="1"/>
  <c r="AA78" i="1" s="1"/>
  <c r="Z59" i="1"/>
  <c r="Z78" i="1" s="1"/>
  <c r="Y59" i="1"/>
  <c r="Y78" i="1" s="1"/>
  <c r="X59" i="1"/>
  <c r="W59" i="1"/>
  <c r="V59" i="1"/>
  <c r="U59" i="1"/>
  <c r="T59" i="1"/>
  <c r="T78" i="1" s="1"/>
  <c r="S59" i="1"/>
  <c r="S78" i="1" s="1"/>
  <c r="R59" i="1"/>
  <c r="R78" i="1" s="1"/>
  <c r="Q59" i="1"/>
  <c r="Q78" i="1" s="1"/>
  <c r="P59" i="1"/>
  <c r="O59" i="1"/>
  <c r="N59" i="1"/>
  <c r="M59" i="1"/>
  <c r="L59" i="1"/>
  <c r="L78" i="1" s="1"/>
  <c r="K59" i="1"/>
  <c r="K78" i="1" s="1"/>
  <c r="J59" i="1"/>
  <c r="J78" i="1" s="1"/>
  <c r="I59" i="1"/>
  <c r="I78" i="1" s="1"/>
  <c r="BX78" i="1" s="1"/>
  <c r="H59" i="1"/>
  <c r="G59" i="1"/>
  <c r="F59" i="1"/>
  <c r="E59" i="1"/>
  <c r="D59" i="1"/>
  <c r="D78" i="1" s="1"/>
  <c r="C59" i="1"/>
  <c r="C78" i="1" s="1"/>
  <c r="BX58" i="1"/>
  <c r="BX57" i="1"/>
  <c r="BW52" i="1"/>
  <c r="BV52" i="1"/>
  <c r="BU52" i="1"/>
  <c r="BT52" i="1"/>
  <c r="BS52" i="1"/>
  <c r="BR52" i="1"/>
  <c r="BQ52" i="1"/>
  <c r="BP52" i="1"/>
  <c r="BO52" i="1"/>
  <c r="BN52" i="1"/>
  <c r="BM52" i="1"/>
  <c r="BL52" i="1"/>
  <c r="BK52" i="1"/>
  <c r="BJ52" i="1"/>
  <c r="BI52" i="1"/>
  <c r="BH52" i="1"/>
  <c r="BG52" i="1"/>
  <c r="BF52" i="1"/>
  <c r="BE52" i="1"/>
  <c r="BD52" i="1"/>
  <c r="BC52" i="1"/>
  <c r="BB52" i="1"/>
  <c r="BA52" i="1"/>
  <c r="AZ52" i="1"/>
  <c r="AY52" i="1"/>
  <c r="AX52" i="1"/>
  <c r="AW52" i="1"/>
  <c r="AV52" i="1"/>
  <c r="AU52" i="1"/>
  <c r="AT52" i="1"/>
  <c r="AS52" i="1"/>
  <c r="AR52" i="1"/>
  <c r="AQ52" i="1"/>
  <c r="AP52" i="1"/>
  <c r="AO52" i="1"/>
  <c r="AN52" i="1"/>
  <c r="AM52" i="1"/>
  <c r="AL52" i="1"/>
  <c r="AK52" i="1"/>
  <c r="AJ52" i="1"/>
  <c r="AI52" i="1"/>
  <c r="AH52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F52" i="1"/>
  <c r="E52" i="1"/>
  <c r="D52" i="1"/>
  <c r="BX52" i="1" s="1"/>
  <c r="C52" i="1"/>
  <c r="BW51" i="1"/>
  <c r="BV51" i="1"/>
  <c r="BU51" i="1"/>
  <c r="BT51" i="1"/>
  <c r="BS51" i="1"/>
  <c r="BR51" i="1"/>
  <c r="BQ51" i="1"/>
  <c r="BP51" i="1"/>
  <c r="BO51" i="1"/>
  <c r="BN51" i="1"/>
  <c r="BM51" i="1"/>
  <c r="BL51" i="1"/>
  <c r="BK51" i="1"/>
  <c r="BJ51" i="1"/>
  <c r="BI51" i="1"/>
  <c r="BH51" i="1"/>
  <c r="BG51" i="1"/>
  <c r="BF51" i="1"/>
  <c r="BE51" i="1"/>
  <c r="BD51" i="1"/>
  <c r="BC51" i="1"/>
  <c r="BB51" i="1"/>
  <c r="BA51" i="1"/>
  <c r="AZ51" i="1"/>
  <c r="AY51" i="1"/>
  <c r="AX51" i="1"/>
  <c r="AW51" i="1"/>
  <c r="AV51" i="1"/>
  <c r="AU51" i="1"/>
  <c r="AT51" i="1"/>
  <c r="AS51" i="1"/>
  <c r="AR51" i="1"/>
  <c r="AQ51" i="1"/>
  <c r="AP51" i="1"/>
  <c r="AO51" i="1"/>
  <c r="AN51" i="1"/>
  <c r="AM51" i="1"/>
  <c r="AL51" i="1"/>
  <c r="AK51" i="1"/>
  <c r="AJ51" i="1"/>
  <c r="AI51" i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  <c r="E51" i="1"/>
  <c r="D51" i="1"/>
  <c r="C51" i="1"/>
  <c r="BX51" i="1" s="1"/>
  <c r="BW50" i="1"/>
  <c r="BV50" i="1"/>
  <c r="BU50" i="1"/>
  <c r="BT50" i="1"/>
  <c r="BS50" i="1"/>
  <c r="BR50" i="1"/>
  <c r="BQ50" i="1"/>
  <c r="BP50" i="1"/>
  <c r="BO50" i="1"/>
  <c r="BN50" i="1"/>
  <c r="BM50" i="1"/>
  <c r="BL50" i="1"/>
  <c r="BK50" i="1"/>
  <c r="BJ50" i="1"/>
  <c r="BI50" i="1"/>
  <c r="BH50" i="1"/>
  <c r="BG50" i="1"/>
  <c r="BF50" i="1"/>
  <c r="BE50" i="1"/>
  <c r="BD50" i="1"/>
  <c r="BC50" i="1"/>
  <c r="BB50" i="1"/>
  <c r="BA50" i="1"/>
  <c r="AZ50" i="1"/>
  <c r="AY50" i="1"/>
  <c r="AX50" i="1"/>
  <c r="AW50" i="1"/>
  <c r="AV50" i="1"/>
  <c r="AU50" i="1"/>
  <c r="AT50" i="1"/>
  <c r="AS50" i="1"/>
  <c r="AR50" i="1"/>
  <c r="AQ50" i="1"/>
  <c r="AP50" i="1"/>
  <c r="AO50" i="1"/>
  <c r="AN50" i="1"/>
  <c r="AM50" i="1"/>
  <c r="AL50" i="1"/>
  <c r="AK50" i="1"/>
  <c r="AJ50" i="1"/>
  <c r="AI50" i="1"/>
  <c r="AH50" i="1"/>
  <c r="AG50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BX50" i="1" s="1"/>
  <c r="H50" i="1"/>
  <c r="G50" i="1"/>
  <c r="F50" i="1"/>
  <c r="E50" i="1"/>
  <c r="D50" i="1"/>
  <c r="C50" i="1"/>
  <c r="BW49" i="1"/>
  <c r="BV49" i="1"/>
  <c r="BU49" i="1"/>
  <c r="BT49" i="1"/>
  <c r="BS49" i="1"/>
  <c r="BR49" i="1"/>
  <c r="BQ49" i="1"/>
  <c r="BP49" i="1"/>
  <c r="BO49" i="1"/>
  <c r="BN49" i="1"/>
  <c r="BM49" i="1"/>
  <c r="BL49" i="1"/>
  <c r="BK49" i="1"/>
  <c r="BJ49" i="1"/>
  <c r="BI49" i="1"/>
  <c r="BH49" i="1"/>
  <c r="BG49" i="1"/>
  <c r="BF49" i="1"/>
  <c r="BE49" i="1"/>
  <c r="BD49" i="1"/>
  <c r="BC49" i="1"/>
  <c r="BB49" i="1"/>
  <c r="BA49" i="1"/>
  <c r="AZ49" i="1"/>
  <c r="AY49" i="1"/>
  <c r="AX49" i="1"/>
  <c r="AW49" i="1"/>
  <c r="AV49" i="1"/>
  <c r="AU49" i="1"/>
  <c r="AT49" i="1"/>
  <c r="AS49" i="1"/>
  <c r="AR49" i="1"/>
  <c r="AQ49" i="1"/>
  <c r="AP49" i="1"/>
  <c r="AO49" i="1"/>
  <c r="AN49" i="1"/>
  <c r="AM49" i="1"/>
  <c r="AL49" i="1"/>
  <c r="AK49" i="1"/>
  <c r="AJ49" i="1"/>
  <c r="AI49" i="1"/>
  <c r="AH49" i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E49" i="1"/>
  <c r="D49" i="1"/>
  <c r="C49" i="1"/>
  <c r="BX49" i="1" s="1"/>
  <c r="CM46" i="1"/>
  <c r="BW46" i="1"/>
  <c r="BV46" i="1"/>
  <c r="BU46" i="1"/>
  <c r="BT46" i="1"/>
  <c r="BS46" i="1"/>
  <c r="BR46" i="1"/>
  <c r="BQ46" i="1"/>
  <c r="BP46" i="1"/>
  <c r="BO46" i="1"/>
  <c r="BN46" i="1"/>
  <c r="BM46" i="1"/>
  <c r="BL46" i="1"/>
  <c r="BK46" i="1"/>
  <c r="BJ46" i="1"/>
  <c r="BI46" i="1"/>
  <c r="BH46" i="1"/>
  <c r="BG46" i="1"/>
  <c r="BF46" i="1"/>
  <c r="BE46" i="1"/>
  <c r="BD46" i="1"/>
  <c r="BC46" i="1"/>
  <c r="BB46" i="1"/>
  <c r="BA46" i="1"/>
  <c r="AZ46" i="1"/>
  <c r="AY46" i="1"/>
  <c r="AX46" i="1"/>
  <c r="AW46" i="1"/>
  <c r="AV46" i="1"/>
  <c r="AU46" i="1"/>
  <c r="AT46" i="1"/>
  <c r="AS46" i="1"/>
  <c r="AR46" i="1"/>
  <c r="AQ46" i="1"/>
  <c r="AP46" i="1"/>
  <c r="AO46" i="1"/>
  <c r="AN46" i="1"/>
  <c r="AM46" i="1"/>
  <c r="AL46" i="1"/>
  <c r="AK46" i="1"/>
  <c r="AJ46" i="1"/>
  <c r="AI46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C46" i="1"/>
  <c r="BX46" i="1" s="1"/>
  <c r="BX45" i="1"/>
  <c r="BX44" i="1"/>
  <c r="BY44" i="1" s="1"/>
  <c r="BZ44" i="1" s="1"/>
  <c r="CM42" i="1"/>
  <c r="BW42" i="1"/>
  <c r="BV42" i="1"/>
  <c r="BU42" i="1"/>
  <c r="BT42" i="1"/>
  <c r="BS42" i="1"/>
  <c r="BR42" i="1"/>
  <c r="BQ42" i="1"/>
  <c r="BP42" i="1"/>
  <c r="BO42" i="1"/>
  <c r="BN42" i="1"/>
  <c r="BM42" i="1"/>
  <c r="BL42" i="1"/>
  <c r="BK42" i="1"/>
  <c r="BJ42" i="1"/>
  <c r="BI42" i="1"/>
  <c r="BH42" i="1"/>
  <c r="BG42" i="1"/>
  <c r="BF42" i="1"/>
  <c r="BE42" i="1"/>
  <c r="BD42" i="1"/>
  <c r="BC42" i="1"/>
  <c r="BB42" i="1"/>
  <c r="BA42" i="1"/>
  <c r="AZ42" i="1"/>
  <c r="AY42" i="1"/>
  <c r="AX42" i="1"/>
  <c r="AW42" i="1"/>
  <c r="AV42" i="1"/>
  <c r="AU42" i="1"/>
  <c r="AT42" i="1"/>
  <c r="AS42" i="1"/>
  <c r="AR42" i="1"/>
  <c r="AQ42" i="1"/>
  <c r="AP42" i="1"/>
  <c r="AO42" i="1"/>
  <c r="AN42" i="1"/>
  <c r="AM42" i="1"/>
  <c r="AL42" i="1"/>
  <c r="AK42" i="1"/>
  <c r="AJ42" i="1"/>
  <c r="AI42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BX42" i="1" s="1"/>
  <c r="C42" i="1"/>
  <c r="CM41" i="1"/>
  <c r="BW41" i="1"/>
  <c r="BV41" i="1"/>
  <c r="BU41" i="1"/>
  <c r="BT41" i="1"/>
  <c r="BS41" i="1"/>
  <c r="BR41" i="1"/>
  <c r="BQ41" i="1"/>
  <c r="BP41" i="1"/>
  <c r="BO41" i="1"/>
  <c r="BN41" i="1"/>
  <c r="BM41" i="1"/>
  <c r="BL41" i="1"/>
  <c r="BK41" i="1"/>
  <c r="BJ41" i="1"/>
  <c r="BI41" i="1"/>
  <c r="BH41" i="1"/>
  <c r="BG41" i="1"/>
  <c r="BF41" i="1"/>
  <c r="BE41" i="1"/>
  <c r="BD41" i="1"/>
  <c r="BC41" i="1"/>
  <c r="BB41" i="1"/>
  <c r="BA41" i="1"/>
  <c r="AZ41" i="1"/>
  <c r="AY41" i="1"/>
  <c r="AX41" i="1"/>
  <c r="AW41" i="1"/>
  <c r="AV41" i="1"/>
  <c r="AU41" i="1"/>
  <c r="AT41" i="1"/>
  <c r="AS41" i="1"/>
  <c r="AR41" i="1"/>
  <c r="AQ41" i="1"/>
  <c r="AP41" i="1"/>
  <c r="AO41" i="1"/>
  <c r="AN41" i="1"/>
  <c r="AM41" i="1"/>
  <c r="AL41" i="1"/>
  <c r="AK41" i="1"/>
  <c r="AJ41" i="1"/>
  <c r="AI41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C41" i="1"/>
  <c r="BX41" i="1" s="1"/>
  <c r="CM39" i="1"/>
  <c r="BW39" i="1"/>
  <c r="BV39" i="1"/>
  <c r="BU39" i="1"/>
  <c r="BT39" i="1"/>
  <c r="BS39" i="1"/>
  <c r="BR39" i="1"/>
  <c r="BQ39" i="1"/>
  <c r="BP39" i="1"/>
  <c r="BO39" i="1"/>
  <c r="BN39" i="1"/>
  <c r="BM39" i="1"/>
  <c r="BL39" i="1"/>
  <c r="BK39" i="1"/>
  <c r="BJ39" i="1"/>
  <c r="BI39" i="1"/>
  <c r="BH39" i="1"/>
  <c r="BG39" i="1"/>
  <c r="BF39" i="1"/>
  <c r="BE39" i="1"/>
  <c r="BD39" i="1"/>
  <c r="BC39" i="1"/>
  <c r="BB39" i="1"/>
  <c r="BA39" i="1"/>
  <c r="AZ39" i="1"/>
  <c r="AY39" i="1"/>
  <c r="AX39" i="1"/>
  <c r="AW39" i="1"/>
  <c r="AV39" i="1"/>
  <c r="AU39" i="1"/>
  <c r="AT39" i="1"/>
  <c r="AS39" i="1"/>
  <c r="AR39" i="1"/>
  <c r="AQ39" i="1"/>
  <c r="AP39" i="1"/>
  <c r="AO39" i="1"/>
  <c r="AN39" i="1"/>
  <c r="AM39" i="1"/>
  <c r="AL39" i="1"/>
  <c r="AK39" i="1"/>
  <c r="AJ39" i="1"/>
  <c r="AI39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BX39" i="1" s="1"/>
  <c r="C39" i="1"/>
  <c r="CM38" i="1"/>
  <c r="BW38" i="1"/>
  <c r="BV38" i="1"/>
  <c r="BU38" i="1"/>
  <c r="BT38" i="1"/>
  <c r="BS38" i="1"/>
  <c r="BR38" i="1"/>
  <c r="BQ38" i="1"/>
  <c r="BP38" i="1"/>
  <c r="BO38" i="1"/>
  <c r="BN38" i="1"/>
  <c r="BM38" i="1"/>
  <c r="BL38" i="1"/>
  <c r="BK38" i="1"/>
  <c r="BJ38" i="1"/>
  <c r="BI38" i="1"/>
  <c r="BH38" i="1"/>
  <c r="BG38" i="1"/>
  <c r="BF38" i="1"/>
  <c r="BE38" i="1"/>
  <c r="BD38" i="1"/>
  <c r="BC38" i="1"/>
  <c r="BB38" i="1"/>
  <c r="BA38" i="1"/>
  <c r="AZ38" i="1"/>
  <c r="AY38" i="1"/>
  <c r="AX38" i="1"/>
  <c r="AW38" i="1"/>
  <c r="AV38" i="1"/>
  <c r="AU38" i="1"/>
  <c r="AT38" i="1"/>
  <c r="AS38" i="1"/>
  <c r="AR38" i="1"/>
  <c r="AQ38" i="1"/>
  <c r="AP38" i="1"/>
  <c r="AO38" i="1"/>
  <c r="AN38" i="1"/>
  <c r="AM38" i="1"/>
  <c r="AL38" i="1"/>
  <c r="AK38" i="1"/>
  <c r="AJ38" i="1"/>
  <c r="AI38" i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C38" i="1"/>
  <c r="BX38" i="1" s="1"/>
  <c r="BY38" i="1" s="1"/>
  <c r="CM36" i="1"/>
  <c r="BW36" i="1"/>
  <c r="BV36" i="1"/>
  <c r="BU36" i="1"/>
  <c r="BT36" i="1"/>
  <c r="BS36" i="1"/>
  <c r="BR36" i="1"/>
  <c r="BQ36" i="1"/>
  <c r="BP36" i="1"/>
  <c r="BO36" i="1"/>
  <c r="BN36" i="1"/>
  <c r="BM36" i="1"/>
  <c r="BL36" i="1"/>
  <c r="BK36" i="1"/>
  <c r="BJ36" i="1"/>
  <c r="BI36" i="1"/>
  <c r="BH36" i="1"/>
  <c r="BG36" i="1"/>
  <c r="BF36" i="1"/>
  <c r="BE36" i="1"/>
  <c r="BD36" i="1"/>
  <c r="BC36" i="1"/>
  <c r="BB36" i="1"/>
  <c r="BA36" i="1"/>
  <c r="AZ36" i="1"/>
  <c r="AY36" i="1"/>
  <c r="AX36" i="1"/>
  <c r="AW36" i="1"/>
  <c r="AV36" i="1"/>
  <c r="AU36" i="1"/>
  <c r="AT36" i="1"/>
  <c r="AS36" i="1"/>
  <c r="AR36" i="1"/>
  <c r="AQ36" i="1"/>
  <c r="AP36" i="1"/>
  <c r="AO36" i="1"/>
  <c r="AN36" i="1"/>
  <c r="AM36" i="1"/>
  <c r="AL36" i="1"/>
  <c r="AK36" i="1"/>
  <c r="AJ36" i="1"/>
  <c r="AI36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BX36" i="1" s="1"/>
  <c r="C36" i="1"/>
  <c r="CM35" i="1"/>
  <c r="BW35" i="1"/>
  <c r="BV35" i="1"/>
  <c r="BU35" i="1"/>
  <c r="BT35" i="1"/>
  <c r="BS35" i="1"/>
  <c r="BR35" i="1"/>
  <c r="BQ35" i="1"/>
  <c r="BP35" i="1"/>
  <c r="BO35" i="1"/>
  <c r="BN35" i="1"/>
  <c r="BM35" i="1"/>
  <c r="BL35" i="1"/>
  <c r="BK35" i="1"/>
  <c r="BJ35" i="1"/>
  <c r="BI35" i="1"/>
  <c r="BH35" i="1"/>
  <c r="BG35" i="1"/>
  <c r="BF35" i="1"/>
  <c r="BE35" i="1"/>
  <c r="BD35" i="1"/>
  <c r="BC35" i="1"/>
  <c r="BB35" i="1"/>
  <c r="BA35" i="1"/>
  <c r="AZ35" i="1"/>
  <c r="AY35" i="1"/>
  <c r="AX35" i="1"/>
  <c r="AW35" i="1"/>
  <c r="AV35" i="1"/>
  <c r="AU35" i="1"/>
  <c r="AT35" i="1"/>
  <c r="AS35" i="1"/>
  <c r="AR35" i="1"/>
  <c r="AQ35" i="1"/>
  <c r="AP35" i="1"/>
  <c r="AO35" i="1"/>
  <c r="AN35" i="1"/>
  <c r="AM35" i="1"/>
  <c r="AL35" i="1"/>
  <c r="AK35" i="1"/>
  <c r="AJ35" i="1"/>
  <c r="AI35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X35" i="1" s="1"/>
  <c r="CM34" i="1"/>
  <c r="BW34" i="1"/>
  <c r="BV34" i="1"/>
  <c r="BU34" i="1"/>
  <c r="BT34" i="1"/>
  <c r="BS34" i="1"/>
  <c r="BR34" i="1"/>
  <c r="BQ34" i="1"/>
  <c r="BP34" i="1"/>
  <c r="BO34" i="1"/>
  <c r="BN34" i="1"/>
  <c r="BM34" i="1"/>
  <c r="BL34" i="1"/>
  <c r="BK34" i="1"/>
  <c r="BJ34" i="1"/>
  <c r="BI34" i="1"/>
  <c r="BH34" i="1"/>
  <c r="BG34" i="1"/>
  <c r="BF34" i="1"/>
  <c r="BE34" i="1"/>
  <c r="BD34" i="1"/>
  <c r="BC34" i="1"/>
  <c r="BB34" i="1"/>
  <c r="BA34" i="1"/>
  <c r="AZ34" i="1"/>
  <c r="AY34" i="1"/>
  <c r="AX34" i="1"/>
  <c r="AW34" i="1"/>
  <c r="AV34" i="1"/>
  <c r="AU34" i="1"/>
  <c r="AT34" i="1"/>
  <c r="AS34" i="1"/>
  <c r="AR34" i="1"/>
  <c r="AQ34" i="1"/>
  <c r="AP34" i="1"/>
  <c r="AO34" i="1"/>
  <c r="AN34" i="1"/>
  <c r="AM34" i="1"/>
  <c r="AL34" i="1"/>
  <c r="AK34" i="1"/>
  <c r="AJ34" i="1"/>
  <c r="AI34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X32" i="1"/>
  <c r="BX31" i="1"/>
  <c r="BX30" i="1"/>
  <c r="BX29" i="1"/>
  <c r="BX28" i="1"/>
  <c r="BX27" i="1"/>
  <c r="BX26" i="1"/>
  <c r="BX25" i="1"/>
  <c r="BX24" i="1"/>
  <c r="BX23" i="1"/>
  <c r="BX22" i="1"/>
  <c r="BX21" i="1"/>
  <c r="BX20" i="1"/>
  <c r="BX19" i="1"/>
  <c r="BX16" i="1"/>
  <c r="BX15" i="1"/>
  <c r="BX14" i="1"/>
  <c r="BX13" i="1"/>
  <c r="BX12" i="1"/>
  <c r="BX11" i="1"/>
  <c r="BX10" i="1"/>
  <c r="BX9" i="1"/>
  <c r="BX8" i="1"/>
  <c r="BX7" i="1"/>
  <c r="BX6" i="1"/>
  <c r="BX5" i="1"/>
  <c r="BX4" i="1"/>
  <c r="BX3" i="1"/>
  <c r="BY41" i="1" l="1"/>
  <c r="BZ41" i="1" s="1"/>
  <c r="BY78" i="1"/>
  <c r="BZ38" i="1"/>
  <c r="BZ35" i="1"/>
  <c r="BY35" i="1"/>
  <c r="BX79" i="1"/>
  <c r="BX59" i="1"/>
  <c r="C69" i="1"/>
  <c r="K69" i="1"/>
  <c r="S69" i="1"/>
  <c r="AA69" i="1"/>
  <c r="AI69" i="1"/>
  <c r="AQ69" i="1"/>
  <c r="AY69" i="1"/>
  <c r="BG69" i="1"/>
  <c r="BO69" i="1"/>
  <c r="BW69" i="1"/>
  <c r="F70" i="1"/>
  <c r="N70" i="1"/>
  <c r="V70" i="1"/>
  <c r="AD70" i="1"/>
  <c r="AL70" i="1"/>
  <c r="AT70" i="1"/>
  <c r="BB70" i="1"/>
  <c r="BJ70" i="1"/>
  <c r="BR70" i="1"/>
  <c r="C72" i="1"/>
  <c r="K72" i="1"/>
  <c r="S72" i="1"/>
  <c r="AA72" i="1"/>
  <c r="AI72" i="1"/>
  <c r="AQ72" i="1"/>
  <c r="AY72" i="1"/>
  <c r="BG72" i="1"/>
  <c r="BO72" i="1"/>
  <c r="BW72" i="1"/>
  <c r="F73" i="1"/>
  <c r="N73" i="1"/>
  <c r="V73" i="1"/>
  <c r="AD73" i="1"/>
  <c r="AL73" i="1"/>
  <c r="AT73" i="1"/>
  <c r="BB73" i="1"/>
  <c r="BJ73" i="1"/>
  <c r="BR73" i="1"/>
  <c r="C75" i="1"/>
  <c r="K75" i="1"/>
  <c r="S75" i="1"/>
  <c r="AA75" i="1"/>
  <c r="AI75" i="1"/>
  <c r="AQ75" i="1"/>
  <c r="AY75" i="1"/>
  <c r="BG75" i="1"/>
  <c r="BO75" i="1"/>
  <c r="BW75" i="1"/>
  <c r="F76" i="1"/>
  <c r="N76" i="1"/>
  <c r="V76" i="1"/>
  <c r="AD76" i="1"/>
  <c r="AL76" i="1"/>
  <c r="AT76" i="1"/>
  <c r="BB76" i="1"/>
  <c r="BJ76" i="1"/>
  <c r="BR76" i="1"/>
  <c r="D69" i="1"/>
  <c r="L69" i="1"/>
  <c r="T69" i="1"/>
  <c r="AB69" i="1"/>
  <c r="AJ69" i="1"/>
  <c r="AR69" i="1"/>
  <c r="AZ69" i="1"/>
  <c r="BH69" i="1"/>
  <c r="BP69" i="1"/>
  <c r="G70" i="1"/>
  <c r="O70" i="1"/>
  <c r="W70" i="1"/>
  <c r="AE70" i="1"/>
  <c r="AM70" i="1"/>
  <c r="AU70" i="1"/>
  <c r="BC70" i="1"/>
  <c r="BK70" i="1"/>
  <c r="BS70" i="1"/>
  <c r="D72" i="1"/>
  <c r="L72" i="1"/>
  <c r="T72" i="1"/>
  <c r="AB72" i="1"/>
  <c r="AJ72" i="1"/>
  <c r="AR72" i="1"/>
  <c r="AZ72" i="1"/>
  <c r="BH72" i="1"/>
  <c r="BP72" i="1"/>
  <c r="G73" i="1"/>
  <c r="O73" i="1"/>
  <c r="W73" i="1"/>
  <c r="AE73" i="1"/>
  <c r="AM73" i="1"/>
  <c r="AU73" i="1"/>
  <c r="BC73" i="1"/>
  <c r="BK73" i="1"/>
  <c r="BS73" i="1"/>
  <c r="D75" i="1"/>
  <c r="L75" i="1"/>
  <c r="T75" i="1"/>
  <c r="AB75" i="1"/>
  <c r="AJ75" i="1"/>
  <c r="AR75" i="1"/>
  <c r="AZ75" i="1"/>
  <c r="BH75" i="1"/>
  <c r="BP75" i="1"/>
  <c r="G76" i="1"/>
  <c r="O76" i="1"/>
  <c r="W76" i="1"/>
  <c r="AE76" i="1"/>
  <c r="AM76" i="1"/>
  <c r="AU76" i="1"/>
  <c r="BC76" i="1"/>
  <c r="BK76" i="1"/>
  <c r="BS76" i="1"/>
  <c r="BX65" i="1"/>
  <c r="CM72" i="1"/>
  <c r="CM75" i="1"/>
  <c r="C70" i="1"/>
  <c r="K70" i="1"/>
  <c r="S70" i="1"/>
  <c r="AA70" i="1"/>
  <c r="AI70" i="1"/>
  <c r="AQ70" i="1"/>
  <c r="AY70" i="1"/>
  <c r="BG70" i="1"/>
  <c r="BO70" i="1"/>
  <c r="BW70" i="1"/>
  <c r="C73" i="1"/>
  <c r="K73" i="1"/>
  <c r="BX73" i="1" s="1"/>
  <c r="S73" i="1"/>
  <c r="AA73" i="1"/>
  <c r="AI73" i="1"/>
  <c r="AQ73" i="1"/>
  <c r="AY73" i="1"/>
  <c r="BG73" i="1"/>
  <c r="BO73" i="1"/>
  <c r="BW73" i="1"/>
  <c r="C76" i="1"/>
  <c r="K76" i="1"/>
  <c r="BX76" i="1" s="1"/>
  <c r="S76" i="1"/>
  <c r="AA76" i="1"/>
  <c r="AI76" i="1"/>
  <c r="AQ76" i="1"/>
  <c r="AY76" i="1"/>
  <c r="BG76" i="1"/>
  <c r="BO76" i="1"/>
  <c r="BW76" i="1"/>
  <c r="I69" i="1"/>
  <c r="Q69" i="1"/>
  <c r="Y69" i="1"/>
  <c r="AG69" i="1"/>
  <c r="AO69" i="1"/>
  <c r="AW69" i="1"/>
  <c r="BE69" i="1"/>
  <c r="BM69" i="1"/>
  <c r="BU69" i="1"/>
  <c r="D70" i="1"/>
  <c r="L70" i="1"/>
  <c r="BX70" i="1" s="1"/>
  <c r="T70" i="1"/>
  <c r="AB70" i="1"/>
  <c r="AJ70" i="1"/>
  <c r="AR70" i="1"/>
  <c r="AZ70" i="1"/>
  <c r="BH70" i="1"/>
  <c r="BP70" i="1"/>
  <c r="I72" i="1"/>
  <c r="Q72" i="1"/>
  <c r="Y72" i="1"/>
  <c r="AG72" i="1"/>
  <c r="AO72" i="1"/>
  <c r="AW72" i="1"/>
  <c r="BE72" i="1"/>
  <c r="BM72" i="1"/>
  <c r="BU72" i="1"/>
  <c r="D73" i="1"/>
  <c r="L73" i="1"/>
  <c r="T73" i="1"/>
  <c r="AB73" i="1"/>
  <c r="AJ73" i="1"/>
  <c r="AR73" i="1"/>
  <c r="AZ73" i="1"/>
  <c r="BH73" i="1"/>
  <c r="BP73" i="1"/>
  <c r="I75" i="1"/>
  <c r="Q75" i="1"/>
  <c r="Y75" i="1"/>
  <c r="AG75" i="1"/>
  <c r="AO75" i="1"/>
  <c r="AW75" i="1"/>
  <c r="BE75" i="1"/>
  <c r="BM75" i="1"/>
  <c r="BU75" i="1"/>
  <c r="D76" i="1"/>
  <c r="L76" i="1"/>
  <c r="T76" i="1"/>
  <c r="AB76" i="1"/>
  <c r="AJ76" i="1"/>
  <c r="AR76" i="1"/>
  <c r="AZ76" i="1"/>
  <c r="BH76" i="1"/>
  <c r="BP76" i="1"/>
  <c r="J69" i="1"/>
  <c r="R69" i="1"/>
  <c r="Z69" i="1"/>
  <c r="AH69" i="1"/>
  <c r="AP69" i="1"/>
  <c r="AX69" i="1"/>
  <c r="BF69" i="1"/>
  <c r="BN69" i="1"/>
  <c r="BV69" i="1"/>
  <c r="E70" i="1"/>
  <c r="M70" i="1"/>
  <c r="U70" i="1"/>
  <c r="AC70" i="1"/>
  <c r="AK70" i="1"/>
  <c r="AS70" i="1"/>
  <c r="BA70" i="1"/>
  <c r="BI70" i="1"/>
  <c r="BQ70" i="1"/>
  <c r="CM70" i="1"/>
  <c r="J72" i="1"/>
  <c r="R72" i="1"/>
  <c r="Z72" i="1"/>
  <c r="AH72" i="1"/>
  <c r="AP72" i="1"/>
  <c r="AX72" i="1"/>
  <c r="BF72" i="1"/>
  <c r="BN72" i="1"/>
  <c r="BV72" i="1"/>
  <c r="E73" i="1"/>
  <c r="M73" i="1"/>
  <c r="U73" i="1"/>
  <c r="AC73" i="1"/>
  <c r="AK73" i="1"/>
  <c r="AS73" i="1"/>
  <c r="BA73" i="1"/>
  <c r="BI73" i="1"/>
  <c r="BQ73" i="1"/>
  <c r="CM73" i="1"/>
  <c r="J75" i="1"/>
  <c r="R75" i="1"/>
  <c r="Z75" i="1"/>
  <c r="AH75" i="1"/>
  <c r="AP75" i="1"/>
  <c r="AX75" i="1"/>
  <c r="BF75" i="1"/>
  <c r="BN75" i="1"/>
  <c r="BV75" i="1"/>
  <c r="E76" i="1"/>
  <c r="M76" i="1"/>
  <c r="U76" i="1"/>
  <c r="AC76" i="1"/>
  <c r="AK76" i="1"/>
  <c r="AS76" i="1"/>
  <c r="BA76" i="1"/>
  <c r="BI76" i="1"/>
  <c r="BQ76" i="1"/>
  <c r="CM76" i="1"/>
  <c r="BX72" i="1" l="1"/>
  <c r="BY72" i="1" s="1"/>
  <c r="BZ72" i="1" s="1"/>
  <c r="BX69" i="1"/>
  <c r="BY69" i="1" s="1"/>
  <c r="BZ69" i="1" s="1"/>
  <c r="BZ78" i="1"/>
  <c r="BX75" i="1"/>
  <c r="BY75" i="1" s="1"/>
  <c r="BZ75" i="1" s="1"/>
</calcChain>
</file>

<file path=xl/sharedStrings.xml><?xml version="1.0" encoding="utf-8"?>
<sst xmlns="http://schemas.openxmlformats.org/spreadsheetml/2006/main" count="426" uniqueCount="145">
  <si>
    <t>T2T-CHM13</t>
  </si>
  <si>
    <t>D number</t>
  </si>
  <si>
    <t>D09-468</t>
  </si>
  <si>
    <t>D12-880</t>
  </si>
  <si>
    <t>D12-881</t>
  </si>
  <si>
    <t>D12-928</t>
  </si>
  <si>
    <t>D13-708</t>
  </si>
  <si>
    <t>D13-944</t>
  </si>
  <si>
    <t>D14-0589</t>
  </si>
  <si>
    <t>D15-0055</t>
  </si>
  <si>
    <t>D15-1048</t>
  </si>
  <si>
    <t>D15-1050</t>
  </si>
  <si>
    <t>D15-1762</t>
  </si>
  <si>
    <t>D15-1768</t>
  </si>
  <si>
    <t>D16-0208</t>
  </si>
  <si>
    <t>D16-0298</t>
  </si>
  <si>
    <t>D17-0918</t>
  </si>
  <si>
    <t>D18-0051</t>
  </si>
  <si>
    <t>D18-0870</t>
  </si>
  <si>
    <t>D18-1122</t>
  </si>
  <si>
    <t>D18-1921</t>
  </si>
  <si>
    <t>D19-0714</t>
  </si>
  <si>
    <t>D19-0823</t>
  </si>
  <si>
    <t>D19-0824</t>
  </si>
  <si>
    <t>D19-0825</t>
  </si>
  <si>
    <t>D19-1647</t>
  </si>
  <si>
    <t>D19-1648</t>
  </si>
  <si>
    <t>D19-1649</t>
  </si>
  <si>
    <t>D20-0414</t>
  </si>
  <si>
    <t>D20-0418</t>
  </si>
  <si>
    <t>D20-0819</t>
  </si>
  <si>
    <t>D20-1019</t>
  </si>
  <si>
    <t>D20-1040</t>
  </si>
  <si>
    <t>D21-0013</t>
  </si>
  <si>
    <t>D21-0023</t>
  </si>
  <si>
    <t>D21-0024</t>
  </si>
  <si>
    <t>D21-0068</t>
  </si>
  <si>
    <t>D21-0069</t>
  </si>
  <si>
    <t>D21-0074</t>
  </si>
  <si>
    <t>D21-0075</t>
  </si>
  <si>
    <t>D21-0076</t>
  </si>
  <si>
    <t>D21-0077</t>
  </si>
  <si>
    <t>D21-0078</t>
  </si>
  <si>
    <t>D21-0079</t>
  </si>
  <si>
    <t>D21-0083</t>
  </si>
  <si>
    <t>D21-0084</t>
  </si>
  <si>
    <t>D21-0085</t>
  </si>
  <si>
    <t>D22-0006</t>
  </si>
  <si>
    <t>D22-0007</t>
  </si>
  <si>
    <t>D22-0008</t>
  </si>
  <si>
    <t>D22-0015</t>
  </si>
  <si>
    <t>D22-0017</t>
  </si>
  <si>
    <t>D22-0018</t>
  </si>
  <si>
    <t>D22-0049</t>
  </si>
  <si>
    <t>D22-0050</t>
  </si>
  <si>
    <t>D22-0056</t>
  </si>
  <si>
    <t>D22-0060</t>
  </si>
  <si>
    <t>D22-0074</t>
  </si>
  <si>
    <t>D22-0075</t>
  </si>
  <si>
    <t>D22-0080</t>
  </si>
  <si>
    <t>D22-0081</t>
  </si>
  <si>
    <t>D22-0082</t>
  </si>
  <si>
    <t>D22-0088</t>
  </si>
  <si>
    <t>D22-0089</t>
  </si>
  <si>
    <t>D22-0109</t>
  </si>
  <si>
    <t>D22-0110</t>
  </si>
  <si>
    <t>D22-0119</t>
  </si>
  <si>
    <t>D22-0159</t>
  </si>
  <si>
    <t>D22-0161</t>
  </si>
  <si>
    <t>D22-0162</t>
  </si>
  <si>
    <t>D22-0170</t>
  </si>
  <si>
    <t>D23-0058</t>
  </si>
  <si>
    <t>D23-0059</t>
  </si>
  <si>
    <t>D23-0060</t>
  </si>
  <si>
    <t>DGS-20-210</t>
  </si>
  <si>
    <t>Average</t>
  </si>
  <si>
    <t>D21-0091</t>
  </si>
  <si>
    <t>Total sequences</t>
  </si>
  <si>
    <t>Paired-end technology bit set + both mates mapped</t>
  </si>
  <si>
    <t>Mapped &amp; paired</t>
  </si>
  <si>
    <t>Proper-pair bit set</t>
  </si>
  <si>
    <t>Properly paired</t>
  </si>
  <si>
    <t>Mismatches</t>
  </si>
  <si>
    <t>PCR or optical duplicate bit set</t>
  </si>
  <si>
    <t>Duplicated</t>
  </si>
  <si>
    <t>QC Failed</t>
  </si>
  <si>
    <t>Reads mapped and MQ=0</t>
  </si>
  <si>
    <t>Reads MQ0</t>
  </si>
  <si>
    <t>Mapped bases (CIGAR)</t>
  </si>
  <si>
    <t>Bases Trimmed</t>
  </si>
  <si>
    <t>Bases trimmed</t>
  </si>
  <si>
    <t>Duplicated bases</t>
  </si>
  <si>
    <t>Pairs on different chromosomes</t>
  </si>
  <si>
    <t>Pairs with other orientation</t>
  </si>
  <si>
    <t>Inward oriented pairs</t>
  </si>
  <si>
    <t>Outward oriented pairs</t>
  </si>
  <si>
    <t>GRCh38</t>
  </si>
  <si>
    <t>Sample</t>
  </si>
  <si>
    <t>Analysis</t>
  </si>
  <si>
    <t>Checkpoint</t>
  </si>
  <si>
    <t>Diff (T2T-Hg38)</t>
  </si>
  <si>
    <t>Amount</t>
  </si>
  <si>
    <t>reads mapped mq=0 / total sequences T2T-CHM13</t>
  </si>
  <si>
    <t>Percentage reads MQ0 T2T-CHM13</t>
  </si>
  <si>
    <t>reads mapped mq=0 / total sequences GRCh38</t>
  </si>
  <si>
    <t>Percentage reads MQ0 GRCh38</t>
  </si>
  <si>
    <t>proper-pair bit set T2T-CHM13</t>
  </si>
  <si>
    <t>Percentage properly paired mapped T2T-CHM13</t>
  </si>
  <si>
    <t>proper-pair bit set GRCh38</t>
  </si>
  <si>
    <t>Percentage properly paired mapped GRCh38</t>
  </si>
  <si>
    <t>pairs with other orientation T2T-CHM13</t>
  </si>
  <si>
    <t>Percentage pairs with other orientation T2T-CHM13</t>
  </si>
  <si>
    <t>pairs with other orientation GRCh38</t>
  </si>
  <si>
    <t>Percentage pairs with other orientation GRCh38</t>
  </si>
  <si>
    <t>mismatch rate T2T-CHM13</t>
  </si>
  <si>
    <t>Percentage mismatch bases T2T-CHM13</t>
  </si>
  <si>
    <t>mismatch rate GRCh38</t>
  </si>
  <si>
    <t>Percentage mismatch bases GRCh38</t>
  </si>
  <si>
    <t>average number of total sequences</t>
  </si>
  <si>
    <t>proper-pair bit set T2T-CHM13-GRCh38</t>
  </si>
  <si>
    <t>Properly paired mapped T2T-CHM13-GRCh38</t>
  </si>
  <si>
    <t>mq0 reads T2T-CHM13-GRCh38</t>
  </si>
  <si>
    <t>misoriented read pairs T2T-CHM13-GRCh38</t>
  </si>
  <si>
    <t>unmapped reads T2T-CHM13-GRCh38</t>
  </si>
  <si>
    <t>Mapped (with MQ&gt;0)</t>
  </si>
  <si>
    <t>MQ0</t>
  </si>
  <si>
    <t>Mapped</t>
  </si>
  <si>
    <t>Unmapped</t>
  </si>
  <si>
    <t>T2T-CHM13 - percent unmapped</t>
  </si>
  <si>
    <t>Percentage unmapped reads T2T-CHM13 / TOTAL SEQ</t>
  </si>
  <si>
    <t>GRCh38 - percent unmapped</t>
  </si>
  <si>
    <t>Percentage unmapped reads GRCh38 / TOTAL SEQ</t>
  </si>
  <si>
    <t>T2T-CHM13 - percent MQ0</t>
  </si>
  <si>
    <t>Percentage MQ0 reads T2T-CHM13 / Total Seq</t>
  </si>
  <si>
    <t>GRCh38 - percent MQ0</t>
  </si>
  <si>
    <t>Percentage MQ0 reads GRCh38 / Total Seq</t>
  </si>
  <si>
    <t>T2T-CHM13 - percent mapped</t>
  </si>
  <si>
    <t>Percentage mapped reads T2T-CHM13 / TOTAL SEQ</t>
  </si>
  <si>
    <t>GRCh38 - percent mapped</t>
  </si>
  <si>
    <t>Percentage mapped reads GRCh38 / TOTAL SEQ</t>
  </si>
  <si>
    <t>T2T-CHM13 - percent MQ&gt;0 mapped</t>
  </si>
  <si>
    <t>Percentage MQ&gt;0 mapped reads T2T-CHM13 / Total Seq</t>
  </si>
  <si>
    <t>GRCh38 - percent MQ&gt;0 mapped</t>
  </si>
  <si>
    <t>Percentage MQ&gt;0 mapped reads GRCh38 / Total Seq</t>
  </si>
  <si>
    <t>Sample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</si>
</sst>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%"/>
    <numFmt numFmtId="165" formatCode="0.000%"/>
    <numFmt numFmtId="166" formatCode="0.000000"/>
    <numFmt numFmtId="167" formatCode="0.0000000"/>
  </numFmts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sz val="14"/>
      <color theme="1"/>
      <name val="Aptos Narrow (Body)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0">
    <xf numFmtId="0" fontId="0" fillId="0" borderId="0" xfId="0"/>
    <xf numFmtId="0" fontId="2" fillId="2" borderId="1" xfId="0" applyFont="1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3" borderId="3" xfId="0" applyFill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3" borderId="7" xfId="0" applyFont="1" applyFill="1" applyBorder="1"/>
    <xf numFmtId="0" fontId="3" fillId="0" borderId="9" xfId="0" applyFont="1" applyBorder="1"/>
    <xf numFmtId="0" fontId="0" fillId="0" borderId="7" xfId="0" applyBorder="1"/>
    <xf numFmtId="0" fontId="0" fillId="0" borderId="8" xfId="0" applyBorder="1"/>
    <xf numFmtId="2" fontId="0" fillId="4" borderId="7" xfId="0" applyNumberFormat="1" applyFill="1" applyBorder="1"/>
    <xf numFmtId="0" fontId="0" fillId="3" borderId="7" xfId="0" applyFill="1" applyBorder="1"/>
    <xf numFmtId="0" fontId="0" fillId="3" borderId="0" xfId="0" applyFill="1"/>
    <xf numFmtId="0" fontId="3" fillId="0" borderId="10" xfId="0" applyFont="1" applyBorder="1"/>
    <xf numFmtId="0" fontId="3" fillId="0" borderId="11" xfId="0" applyFont="1" applyBorder="1"/>
    <xf numFmtId="0" fontId="2" fillId="2" borderId="12" xfId="0" applyFont="1" applyFill="1" applyBorder="1"/>
    <xf numFmtId="0" fontId="0" fillId="2" borderId="0" xfId="0" applyFill="1"/>
    <xf numFmtId="0" fontId="0" fillId="2" borderId="13" xfId="0" applyFill="1" applyBorder="1"/>
    <xf numFmtId="0" fontId="0" fillId="2" borderId="14" xfId="0" applyFill="1" applyBorder="1"/>
    <xf numFmtId="0" fontId="0" fillId="2" borderId="15" xfId="0" applyFill="1" applyBorder="1"/>
    <xf numFmtId="0" fontId="0" fillId="3" borderId="14" xfId="0" applyFill="1" applyBorder="1"/>
    <xf numFmtId="0" fontId="3" fillId="0" borderId="16" xfId="0" applyFont="1" applyBorder="1"/>
    <xf numFmtId="0" fontId="3" fillId="0" borderId="4" xfId="0" applyFont="1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3" fillId="4" borderId="17" xfId="0" applyFont="1" applyFill="1" applyBorder="1"/>
    <xf numFmtId="0" fontId="3" fillId="4" borderId="18" xfId="0" applyFont="1" applyFill="1" applyBorder="1"/>
    <xf numFmtId="0" fontId="3" fillId="4" borderId="19" xfId="0" applyFont="1" applyFill="1" applyBorder="1"/>
    <xf numFmtId="0" fontId="0" fillId="3" borderId="18" xfId="0" applyFill="1" applyBorder="1"/>
    <xf numFmtId="0" fontId="3" fillId="0" borderId="20" xfId="0" applyFont="1" applyBorder="1"/>
    <xf numFmtId="0" fontId="3" fillId="0" borderId="13" xfId="0" applyFont="1" applyBorder="1"/>
    <xf numFmtId="10" fontId="0" fillId="0" borderId="21" xfId="0" applyNumberFormat="1" applyBorder="1"/>
    <xf numFmtId="10" fontId="0" fillId="0" borderId="7" xfId="0" applyNumberFormat="1" applyBorder="1"/>
    <xf numFmtId="10" fontId="0" fillId="0" borderId="22" xfId="0" applyNumberFormat="1" applyBorder="1"/>
    <xf numFmtId="164" fontId="0" fillId="4" borderId="21" xfId="0" applyNumberFormat="1" applyFill="1" applyBorder="1"/>
    <xf numFmtId="10" fontId="0" fillId="4" borderId="7" xfId="0" applyNumberFormat="1" applyFill="1" applyBorder="1"/>
    <xf numFmtId="2" fontId="0" fillId="4" borderId="22" xfId="0" applyNumberFormat="1" applyFill="1" applyBorder="1"/>
    <xf numFmtId="10" fontId="0" fillId="3" borderId="7" xfId="0" applyNumberFormat="1" applyFill="1" applyBorder="1"/>
    <xf numFmtId="0" fontId="0" fillId="4" borderId="7" xfId="0" applyFill="1" applyBorder="1"/>
    <xf numFmtId="0" fontId="0" fillId="4" borderId="22" xfId="0" applyFill="1" applyBorder="1"/>
    <xf numFmtId="0" fontId="0" fillId="0" borderId="21" xfId="0" applyBorder="1"/>
    <xf numFmtId="0" fontId="0" fillId="0" borderId="22" xfId="0" applyBorder="1"/>
    <xf numFmtId="164" fontId="0" fillId="4" borderId="0" xfId="0" applyNumberFormat="1" applyFill="1"/>
    <xf numFmtId="0" fontId="0" fillId="4" borderId="0" xfId="0" applyFill="1"/>
    <xf numFmtId="0" fontId="0" fillId="4" borderId="13" xfId="0" applyFill="1" applyBorder="1"/>
    <xf numFmtId="165" fontId="0" fillId="0" borderId="21" xfId="1" applyNumberFormat="1" applyFont="1" applyBorder="1"/>
    <xf numFmtId="165" fontId="0" fillId="0" borderId="7" xfId="1" applyNumberFormat="1" applyFont="1" applyBorder="1"/>
    <xf numFmtId="165" fontId="0" fillId="0" borderId="22" xfId="1" applyNumberFormat="1" applyFont="1" applyBorder="1"/>
    <xf numFmtId="165" fontId="0" fillId="3" borderId="7" xfId="1" applyNumberFormat="1" applyFont="1" applyFill="1" applyBorder="1"/>
    <xf numFmtId="0" fontId="3" fillId="0" borderId="0" xfId="0" applyFont="1"/>
    <xf numFmtId="0" fontId="3" fillId="0" borderId="23" xfId="0" applyFont="1" applyBorder="1"/>
    <xf numFmtId="0" fontId="3" fillId="0" borderId="15" xfId="0" applyFont="1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2" fontId="0" fillId="4" borderId="27" xfId="0" applyNumberFormat="1" applyFill="1" applyBorder="1"/>
    <xf numFmtId="0" fontId="0" fillId="4" borderId="14" xfId="0" applyFill="1" applyBorder="1"/>
    <xf numFmtId="0" fontId="0" fillId="4" borderId="15" xfId="0" applyFill="1" applyBorder="1"/>
    <xf numFmtId="0" fontId="0" fillId="3" borderId="25" xfId="0" applyFill="1" applyBorder="1"/>
    <xf numFmtId="2" fontId="0" fillId="4" borderId="0" xfId="0" applyNumberFormat="1" applyFill="1"/>
    <xf numFmtId="2" fontId="0" fillId="0" borderId="0" xfId="0" applyNumberFormat="1"/>
    <xf numFmtId="0" fontId="0" fillId="2" borderId="27" xfId="0" applyFill="1" applyBorder="1"/>
    <xf numFmtId="0" fontId="0" fillId="3" borderId="2" xfId="0" applyFill="1" applyBorder="1"/>
    <xf numFmtId="0" fontId="3" fillId="0" borderId="28" xfId="0" applyFont="1" applyBorder="1"/>
    <xf numFmtId="0" fontId="3" fillId="3" borderId="28" xfId="0" applyFont="1" applyFill="1" applyBorder="1"/>
    <xf numFmtId="166" fontId="0" fillId="4" borderId="7" xfId="0" applyNumberFormat="1" applyFill="1" applyBorder="1"/>
    <xf numFmtId="0" fontId="4" fillId="0" borderId="0" xfId="0" applyFont="1"/>
    <xf numFmtId="0" fontId="3" fillId="0" borderId="29" xfId="0" applyFont="1" applyBorder="1"/>
    <xf numFmtId="0" fontId="0" fillId="0" borderId="29" xfId="0" applyBorder="1"/>
    <xf numFmtId="0" fontId="0" fillId="3" borderId="29" xfId="0" applyFill="1" applyBorder="1"/>
    <xf numFmtId="166" fontId="0" fillId="0" borderId="0" xfId="0" applyNumberFormat="1"/>
    <xf numFmtId="0" fontId="3" fillId="0" borderId="30" xfId="0" applyFont="1" applyBorder="1"/>
    <xf numFmtId="166" fontId="3" fillId="0" borderId="7" xfId="0" applyNumberFormat="1" applyFont="1" applyBorder="1"/>
    <xf numFmtId="0" fontId="5" fillId="2" borderId="0" xfId="0" applyFont="1" applyFill="1"/>
    <xf numFmtId="0" fontId="3" fillId="0" borderId="12" xfId="0" applyFont="1" applyBorder="1"/>
    <xf numFmtId="0" fontId="3" fillId="0" borderId="3" xfId="0" applyFont="1" applyBorder="1"/>
    <xf numFmtId="0" fontId="0" fillId="0" borderId="3" xfId="0" applyBorder="1"/>
    <xf numFmtId="0" fontId="3" fillId="4" borderId="5" xfId="0" applyFont="1" applyFill="1" applyBorder="1"/>
    <xf numFmtId="167" fontId="0" fillId="0" borderId="0" xfId="0" applyNumberFormat="1"/>
    <xf numFmtId="164" fontId="0" fillId="4" borderId="9" xfId="0" applyNumberFormat="1" applyFill="1" applyBorder="1"/>
    <xf numFmtId="10" fontId="0" fillId="3" borderId="0" xfId="0" applyNumberFormat="1" applyFill="1"/>
    <xf numFmtId="0" fontId="0" fillId="0" borderId="20" xfId="0" applyBorder="1"/>
    <xf numFmtId="164" fontId="0" fillId="0" borderId="9" xfId="0" applyNumberFormat="1" applyBorder="1"/>
    <xf numFmtId="0" fontId="0" fillId="5" borderId="1" xfId="0" applyFill="1" applyBorder="1"/>
    <xf numFmtId="1" fontId="0" fillId="5" borderId="27" xfId="0" applyNumberFormat="1" applyFill="1" applyBorder="1" applyAlignment="1">
      <alignment horizontal="center" vertical="center"/>
    </xf>
  </cellXfs>
  <cellStyles count="2">
    <cellStyle name="Normal" xfId="0" builtinId="0"/>
    <cellStyle name="Per cent" xfId="1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AD9BF-312C-424D-9B54-97711546A5EC}">
  <dimension ref="A1:CM81"/>
  <sheetViews>
    <sheetView tabSelected="1" topLeftCell="A28" workbookViewId="0">
      <pane xSplit="1" topLeftCell="B1" activePane="topRight" state="frozen"/>
      <selection activeCell="A5" sqref="A5"/>
      <selection pane="topRight" activeCell="C73" sqref="C73"/>
    </sheetView>
  </sheetViews>
  <sheetFormatPr baseColWidth="10" defaultRowHeight="16" x14ac:dyDescent="0.2"/>
  <cols>
    <col min="1" max="1" width="43" bestFit="1" customWidth="1"/>
    <col min="2" max="2" width="48.1640625" customWidth="1"/>
    <col min="3" max="54" width="12.1640625" bestFit="1" customWidth="1"/>
    <col min="55" max="55" width="13.1640625" bestFit="1" customWidth="1"/>
    <col min="56" max="64" width="12.1640625" bestFit="1" customWidth="1"/>
    <col min="65" max="65" width="13.1640625" bestFit="1" customWidth="1"/>
    <col min="66" max="66" width="12.6640625" bestFit="1" customWidth="1"/>
    <col min="67" max="67" width="12.1640625" bestFit="1" customWidth="1"/>
    <col min="68" max="68" width="13.1640625" bestFit="1" customWidth="1"/>
    <col min="69" max="72" width="12.1640625" bestFit="1" customWidth="1"/>
    <col min="73" max="73" width="16.5" customWidth="1"/>
    <col min="74" max="76" width="12.1640625" bestFit="1" customWidth="1"/>
    <col min="77" max="77" width="15" customWidth="1"/>
    <col min="78" max="90" width="12.1640625" bestFit="1" customWidth="1"/>
    <col min="91" max="91" width="12.1640625" style="16" bestFit="1" customWidth="1"/>
    <col min="92" max="103" width="12.1640625" bestFit="1" customWidth="1"/>
    <col min="104" max="105" width="12.83203125" bestFit="1" customWidth="1"/>
    <col min="106" max="106" width="12.6640625" bestFit="1" customWidth="1"/>
    <col min="107" max="107" width="12.1640625" bestFit="1" customWidth="1"/>
    <col min="108" max="108" width="13.1640625" bestFit="1" customWidth="1"/>
    <col min="109" max="153" width="12.1640625" bestFit="1" customWidth="1"/>
    <col min="154" max="154" width="13.5" bestFit="1" customWidth="1"/>
  </cols>
  <sheetData>
    <row r="1" spans="1:91" ht="20" thickBot="1" x14ac:dyDescent="0.3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4"/>
      <c r="BS1" s="3"/>
      <c r="BT1" s="3"/>
      <c r="BU1" s="3"/>
      <c r="BV1" s="3"/>
      <c r="BW1" s="4"/>
      <c r="CM1" s="5"/>
    </row>
    <row r="2" spans="1:91" x14ac:dyDescent="0.2">
      <c r="A2" s="6" t="s">
        <v>1</v>
      </c>
      <c r="B2" s="7"/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8" t="s">
        <v>7</v>
      </c>
      <c r="I2" s="8" t="s">
        <v>8</v>
      </c>
      <c r="J2" s="8" t="s">
        <v>9</v>
      </c>
      <c r="K2" s="8" t="s">
        <v>10</v>
      </c>
      <c r="L2" s="8" t="s">
        <v>11</v>
      </c>
      <c r="M2" s="8" t="s">
        <v>12</v>
      </c>
      <c r="N2" s="8" t="s">
        <v>13</v>
      </c>
      <c r="O2" s="8" t="s">
        <v>14</v>
      </c>
      <c r="P2" s="8" t="s">
        <v>15</v>
      </c>
      <c r="Q2" s="8" t="s">
        <v>16</v>
      </c>
      <c r="R2" s="8" t="s">
        <v>17</v>
      </c>
      <c r="S2" s="8" t="s">
        <v>18</v>
      </c>
      <c r="T2" s="8" t="s">
        <v>19</v>
      </c>
      <c r="U2" s="8" t="s">
        <v>20</v>
      </c>
      <c r="V2" s="8" t="s">
        <v>21</v>
      </c>
      <c r="W2" s="8" t="s">
        <v>22</v>
      </c>
      <c r="X2" s="8" t="s">
        <v>23</v>
      </c>
      <c r="Y2" s="8" t="s">
        <v>24</v>
      </c>
      <c r="Z2" s="8" t="s">
        <v>25</v>
      </c>
      <c r="AA2" s="8" t="s">
        <v>26</v>
      </c>
      <c r="AB2" s="8" t="s">
        <v>27</v>
      </c>
      <c r="AC2" s="8" t="s">
        <v>28</v>
      </c>
      <c r="AD2" s="8" t="s">
        <v>29</v>
      </c>
      <c r="AE2" s="8" t="s">
        <v>30</v>
      </c>
      <c r="AF2" s="8" t="s">
        <v>31</v>
      </c>
      <c r="AG2" s="8" t="s">
        <v>32</v>
      </c>
      <c r="AH2" s="8" t="s">
        <v>33</v>
      </c>
      <c r="AI2" s="8" t="s">
        <v>34</v>
      </c>
      <c r="AJ2" s="8" t="s">
        <v>35</v>
      </c>
      <c r="AK2" s="8" t="s">
        <v>36</v>
      </c>
      <c r="AL2" s="8" t="s">
        <v>37</v>
      </c>
      <c r="AM2" s="8" t="s">
        <v>38</v>
      </c>
      <c r="AN2" s="8" t="s">
        <v>39</v>
      </c>
      <c r="AO2" s="8" t="s">
        <v>40</v>
      </c>
      <c r="AP2" s="8" t="s">
        <v>41</v>
      </c>
      <c r="AQ2" s="8" t="s">
        <v>42</v>
      </c>
      <c r="AR2" s="8" t="s">
        <v>43</v>
      </c>
      <c r="AS2" s="8" t="s">
        <v>44</v>
      </c>
      <c r="AT2" s="8" t="s">
        <v>45</v>
      </c>
      <c r="AU2" s="8" t="s">
        <v>46</v>
      </c>
      <c r="AV2" s="8" t="s">
        <v>47</v>
      </c>
      <c r="AW2" s="8" t="s">
        <v>48</v>
      </c>
      <c r="AX2" s="8" t="s">
        <v>49</v>
      </c>
      <c r="AY2" s="8" t="s">
        <v>50</v>
      </c>
      <c r="AZ2" s="8" t="s">
        <v>51</v>
      </c>
      <c r="BA2" s="8" t="s">
        <v>52</v>
      </c>
      <c r="BB2" s="8" t="s">
        <v>53</v>
      </c>
      <c r="BC2" s="8" t="s">
        <v>54</v>
      </c>
      <c r="BD2" s="8" t="s">
        <v>55</v>
      </c>
      <c r="BE2" s="8" t="s">
        <v>56</v>
      </c>
      <c r="BF2" s="8" t="s">
        <v>57</v>
      </c>
      <c r="BG2" s="8" t="s">
        <v>58</v>
      </c>
      <c r="BH2" s="8" t="s">
        <v>59</v>
      </c>
      <c r="BI2" s="8" t="s">
        <v>60</v>
      </c>
      <c r="BJ2" s="8" t="s">
        <v>61</v>
      </c>
      <c r="BK2" s="8" t="s">
        <v>62</v>
      </c>
      <c r="BL2" s="8" t="s">
        <v>63</v>
      </c>
      <c r="BM2" s="8" t="s">
        <v>64</v>
      </c>
      <c r="BN2" s="8" t="s">
        <v>65</v>
      </c>
      <c r="BO2" s="8" t="s">
        <v>66</v>
      </c>
      <c r="BP2" s="8" t="s">
        <v>67</v>
      </c>
      <c r="BQ2" s="8" t="s">
        <v>68</v>
      </c>
      <c r="BR2" s="8" t="s">
        <v>69</v>
      </c>
      <c r="BS2" s="8" t="s">
        <v>70</v>
      </c>
      <c r="BT2" s="8" t="s">
        <v>71</v>
      </c>
      <c r="BU2" s="8" t="s">
        <v>72</v>
      </c>
      <c r="BV2" s="8" t="s">
        <v>73</v>
      </c>
      <c r="BW2" s="9" t="s">
        <v>74</v>
      </c>
      <c r="BX2" s="8" t="s">
        <v>75</v>
      </c>
      <c r="CM2" s="10" t="s">
        <v>76</v>
      </c>
    </row>
    <row r="3" spans="1:91" x14ac:dyDescent="0.2">
      <c r="A3" s="11" t="s">
        <v>77</v>
      </c>
      <c r="B3" s="9" t="s">
        <v>77</v>
      </c>
      <c r="C3" s="12">
        <v>1217.9865339999999</v>
      </c>
      <c r="D3" s="12">
        <v>553.26096600000005</v>
      </c>
      <c r="E3" s="12">
        <v>639.02571799999998</v>
      </c>
      <c r="F3" s="12">
        <v>602.83223199999998</v>
      </c>
      <c r="G3" s="12">
        <v>759.65653599999996</v>
      </c>
      <c r="H3" s="12">
        <v>650.41833399999996</v>
      </c>
      <c r="I3" s="12">
        <v>645.50699199999997</v>
      </c>
      <c r="J3" s="12">
        <v>1076.0780259999999</v>
      </c>
      <c r="K3" s="12">
        <v>973.32265800000005</v>
      </c>
      <c r="L3" s="12">
        <v>1009.961106</v>
      </c>
      <c r="M3" s="12">
        <v>944.71560199999999</v>
      </c>
      <c r="N3" s="12">
        <v>1285.7937999999999</v>
      </c>
      <c r="O3" s="12">
        <v>947.54181200000005</v>
      </c>
      <c r="P3" s="12">
        <v>862.70761600000003</v>
      </c>
      <c r="Q3" s="12">
        <v>902.18755199999998</v>
      </c>
      <c r="R3" s="12">
        <v>733.57956000000001</v>
      </c>
      <c r="S3" s="12">
        <v>771.85918400000003</v>
      </c>
      <c r="T3" s="12">
        <v>649.62529600000005</v>
      </c>
      <c r="U3" s="12">
        <v>716.136618</v>
      </c>
      <c r="V3" s="12">
        <v>711.03935000000001</v>
      </c>
      <c r="W3" s="12">
        <v>753.83355400000005</v>
      </c>
      <c r="X3" s="12">
        <v>749.355054</v>
      </c>
      <c r="Y3" s="12">
        <v>1021.696988</v>
      </c>
      <c r="Z3" s="12">
        <v>814.72120600000005</v>
      </c>
      <c r="AA3" s="12">
        <v>884.045028</v>
      </c>
      <c r="AB3" s="12">
        <v>862.64907800000003</v>
      </c>
      <c r="AC3" s="12">
        <v>688.31197399999996</v>
      </c>
      <c r="AD3" s="12">
        <v>877.22693000000004</v>
      </c>
      <c r="AE3" s="12">
        <v>1156.6812600000001</v>
      </c>
      <c r="AF3" s="12">
        <v>651.72697600000004</v>
      </c>
      <c r="AG3" s="12">
        <v>753.488698</v>
      </c>
      <c r="AH3" s="12">
        <v>812.11711200000002</v>
      </c>
      <c r="AI3" s="12">
        <v>912.24188200000003</v>
      </c>
      <c r="AJ3" s="12">
        <v>814.75942599999996</v>
      </c>
      <c r="AK3" s="12">
        <v>786.13727600000004</v>
      </c>
      <c r="AL3" s="12">
        <v>1009.56783</v>
      </c>
      <c r="AM3" s="12">
        <v>806.92669999999998</v>
      </c>
      <c r="AN3" s="12">
        <v>739.90076399999998</v>
      </c>
      <c r="AO3" s="12">
        <v>1158.4890379999999</v>
      </c>
      <c r="AP3" s="12">
        <v>726.48011199999996</v>
      </c>
      <c r="AQ3" s="12">
        <v>919.32479799999999</v>
      </c>
      <c r="AR3" s="12">
        <v>923.95363199999997</v>
      </c>
      <c r="AS3" s="12">
        <v>713.216542</v>
      </c>
      <c r="AT3" s="12">
        <v>765.60300400000006</v>
      </c>
      <c r="AU3" s="12">
        <v>853.54279799999995</v>
      </c>
      <c r="AV3" s="12">
        <v>931.47961599999996</v>
      </c>
      <c r="AW3" s="12">
        <v>803.71613200000002</v>
      </c>
      <c r="AX3" s="12">
        <v>862.74876200000006</v>
      </c>
      <c r="AY3" s="12">
        <v>936.23931800000003</v>
      </c>
      <c r="AZ3" s="12">
        <v>830.00469399999997</v>
      </c>
      <c r="BA3" s="12">
        <v>926.39567</v>
      </c>
      <c r="BB3" s="12">
        <v>826.28864799999997</v>
      </c>
      <c r="BC3" s="12">
        <v>677.80206799999996</v>
      </c>
      <c r="BD3" s="12">
        <v>744.06365800000003</v>
      </c>
      <c r="BE3" s="12">
        <v>709.515804</v>
      </c>
      <c r="BF3" s="12">
        <v>766.74467600000003</v>
      </c>
      <c r="BG3" s="12">
        <v>728.47086000000002</v>
      </c>
      <c r="BH3" s="12">
        <v>742.89433799999995</v>
      </c>
      <c r="BI3" s="12">
        <v>858.69192599999997</v>
      </c>
      <c r="BJ3" s="12">
        <v>828.75701600000002</v>
      </c>
      <c r="BK3" s="12">
        <v>830.44496600000002</v>
      </c>
      <c r="BL3" s="12">
        <v>912.81113600000003</v>
      </c>
      <c r="BM3" s="12">
        <v>960.55093399999998</v>
      </c>
      <c r="BN3" s="12">
        <v>904.28183200000001</v>
      </c>
      <c r="BO3" s="12">
        <v>941.63709600000004</v>
      </c>
      <c r="BP3" s="12">
        <v>905.96083399999998</v>
      </c>
      <c r="BQ3" s="12">
        <v>852.93957</v>
      </c>
      <c r="BR3" s="12">
        <v>886.41150400000004</v>
      </c>
      <c r="BS3" s="12">
        <v>755.32172600000001</v>
      </c>
      <c r="BT3" s="12">
        <v>1032.6273659999999</v>
      </c>
      <c r="BU3" s="12">
        <v>942.13373200000001</v>
      </c>
      <c r="BV3" s="12">
        <v>956.24904400000003</v>
      </c>
      <c r="BW3" s="13">
        <v>933.02101200000004</v>
      </c>
      <c r="BX3" s="14">
        <f t="shared" ref="BX3:BX16" si="0">AVERAGE(C3:BW3)</f>
        <v>846.54023410958916</v>
      </c>
      <c r="CM3" s="15">
        <v>1202.645886</v>
      </c>
    </row>
    <row r="4" spans="1:91" x14ac:dyDescent="0.2">
      <c r="A4" s="11" t="s">
        <v>78</v>
      </c>
      <c r="B4" s="9" t="s">
        <v>79</v>
      </c>
      <c r="C4" s="12">
        <v>1216.663808</v>
      </c>
      <c r="D4" s="12">
        <v>553.13014199999998</v>
      </c>
      <c r="E4" s="12">
        <v>638.87268400000005</v>
      </c>
      <c r="F4" s="12">
        <v>601.97239400000001</v>
      </c>
      <c r="G4" s="12">
        <v>758.03927199999998</v>
      </c>
      <c r="H4" s="12">
        <v>649.56776200000002</v>
      </c>
      <c r="I4" s="12">
        <v>645.35491200000001</v>
      </c>
      <c r="J4" s="12">
        <v>1075.3471259999999</v>
      </c>
      <c r="K4" s="12">
        <v>971.99514199999999</v>
      </c>
      <c r="L4" s="12">
        <v>1007.908466</v>
      </c>
      <c r="M4" s="12">
        <v>943.49407399999996</v>
      </c>
      <c r="N4" s="12">
        <v>1284.1078460000001</v>
      </c>
      <c r="O4" s="12">
        <v>946.03549799999996</v>
      </c>
      <c r="P4" s="12">
        <v>860.64006600000005</v>
      </c>
      <c r="Q4" s="12">
        <v>900.60998199999995</v>
      </c>
      <c r="R4" s="12">
        <v>732.19633199999998</v>
      </c>
      <c r="S4" s="12">
        <v>770.34589600000004</v>
      </c>
      <c r="T4" s="12">
        <v>648.473702</v>
      </c>
      <c r="U4" s="12">
        <v>714.67686800000001</v>
      </c>
      <c r="V4" s="12">
        <v>709.88893199999995</v>
      </c>
      <c r="W4" s="12">
        <v>752.86148400000002</v>
      </c>
      <c r="X4" s="12">
        <v>748.37400600000001</v>
      </c>
      <c r="Y4" s="12">
        <v>1020.3856019999999</v>
      </c>
      <c r="Z4" s="12">
        <v>812.33972800000004</v>
      </c>
      <c r="AA4" s="12">
        <v>881.36570400000005</v>
      </c>
      <c r="AB4" s="12">
        <v>859.81911600000001</v>
      </c>
      <c r="AC4" s="12">
        <v>687.54848800000002</v>
      </c>
      <c r="AD4" s="12">
        <v>876.26007200000004</v>
      </c>
      <c r="AE4" s="12">
        <v>1155.3414640000001</v>
      </c>
      <c r="AF4" s="12">
        <v>649.674308</v>
      </c>
      <c r="AG4" s="12">
        <v>751.14877799999999</v>
      </c>
      <c r="AH4" s="12">
        <v>810.67506200000003</v>
      </c>
      <c r="AI4" s="12">
        <v>828.49354200000005</v>
      </c>
      <c r="AJ4" s="12">
        <v>778.37450000000001</v>
      </c>
      <c r="AK4" s="12">
        <v>785.02970400000004</v>
      </c>
      <c r="AL4" s="12">
        <v>1008.552222</v>
      </c>
      <c r="AM4" s="12">
        <v>804.66544999999996</v>
      </c>
      <c r="AN4" s="12">
        <v>738.43764599999997</v>
      </c>
      <c r="AO4" s="12">
        <v>1155.9068420000001</v>
      </c>
      <c r="AP4" s="12">
        <v>724.79396599999995</v>
      </c>
      <c r="AQ4" s="12">
        <v>917.24329599999999</v>
      </c>
      <c r="AR4" s="12">
        <v>921.74682399999995</v>
      </c>
      <c r="AS4" s="12">
        <v>711.90900799999997</v>
      </c>
      <c r="AT4" s="12">
        <v>764.05637200000001</v>
      </c>
      <c r="AU4" s="12">
        <v>852.18524400000001</v>
      </c>
      <c r="AV4" s="12">
        <v>929.54191000000003</v>
      </c>
      <c r="AW4" s="12">
        <v>802.72064599999999</v>
      </c>
      <c r="AX4" s="12">
        <v>861.17799200000002</v>
      </c>
      <c r="AY4" s="12">
        <v>934.76457800000003</v>
      </c>
      <c r="AZ4" s="12">
        <v>828.62081799999999</v>
      </c>
      <c r="BA4" s="12">
        <v>923.962896</v>
      </c>
      <c r="BB4" s="12">
        <v>682.36327000000006</v>
      </c>
      <c r="BC4" s="12">
        <v>676.622792</v>
      </c>
      <c r="BD4" s="12">
        <v>742.51247599999999</v>
      </c>
      <c r="BE4" s="12">
        <v>708.12339199999997</v>
      </c>
      <c r="BF4" s="12">
        <v>765.23211200000003</v>
      </c>
      <c r="BG4" s="12">
        <v>727.15486799999996</v>
      </c>
      <c r="BH4" s="12">
        <v>741.47722999999996</v>
      </c>
      <c r="BI4" s="12">
        <v>857.18547999999998</v>
      </c>
      <c r="BJ4" s="12">
        <v>827.31506999999999</v>
      </c>
      <c r="BK4" s="12">
        <v>828.51148599999999</v>
      </c>
      <c r="BL4" s="12">
        <v>911.01709800000003</v>
      </c>
      <c r="BM4" s="12">
        <v>959.02496799999994</v>
      </c>
      <c r="BN4" s="12">
        <v>902.68705799999998</v>
      </c>
      <c r="BO4" s="12">
        <v>939.64280599999995</v>
      </c>
      <c r="BP4" s="12">
        <v>904.26804400000003</v>
      </c>
      <c r="BQ4" s="12">
        <v>851.45947000000001</v>
      </c>
      <c r="BR4" s="12">
        <v>884.91604400000006</v>
      </c>
      <c r="BS4" s="12">
        <v>754.35055599999998</v>
      </c>
      <c r="BT4" s="12">
        <v>1030.9996860000001</v>
      </c>
      <c r="BU4" s="12">
        <v>940.65748199999996</v>
      </c>
      <c r="BV4" s="12">
        <v>954.96496000000002</v>
      </c>
      <c r="BW4" s="13">
        <v>932.13205000000005</v>
      </c>
      <c r="BX4" s="14">
        <f t="shared" si="0"/>
        <v>841.50570643835613</v>
      </c>
      <c r="CM4" s="15">
        <v>1200.1540319999999</v>
      </c>
    </row>
    <row r="5" spans="1:91" x14ac:dyDescent="0.2">
      <c r="A5" s="11" t="s">
        <v>80</v>
      </c>
      <c r="B5" s="9" t="s">
        <v>81</v>
      </c>
      <c r="C5" s="12">
        <v>1212.437588</v>
      </c>
      <c r="D5" s="12">
        <v>548.267112</v>
      </c>
      <c r="E5" s="12">
        <v>634.05227000000002</v>
      </c>
      <c r="F5" s="12">
        <v>595.99817599999994</v>
      </c>
      <c r="G5" s="12">
        <v>754.57901400000003</v>
      </c>
      <c r="H5" s="12">
        <v>647.35400400000003</v>
      </c>
      <c r="I5" s="12">
        <v>639.35501199999999</v>
      </c>
      <c r="J5" s="12">
        <v>1070.8022920000001</v>
      </c>
      <c r="K5" s="12">
        <v>966.92962999999997</v>
      </c>
      <c r="L5" s="12">
        <v>1003.054156</v>
      </c>
      <c r="M5" s="12">
        <v>939.69030599999996</v>
      </c>
      <c r="N5" s="12">
        <v>1278.880308</v>
      </c>
      <c r="O5" s="12">
        <v>942.50107400000002</v>
      </c>
      <c r="P5" s="12">
        <v>856.81518400000004</v>
      </c>
      <c r="Q5" s="12">
        <v>896.72755800000004</v>
      </c>
      <c r="R5" s="12">
        <v>728.62892999999997</v>
      </c>
      <c r="S5" s="12">
        <v>766.21421999999995</v>
      </c>
      <c r="T5" s="12">
        <v>645.65404000000001</v>
      </c>
      <c r="U5" s="12">
        <v>711.38819999999998</v>
      </c>
      <c r="V5" s="12">
        <v>706.96801000000005</v>
      </c>
      <c r="W5" s="12">
        <v>749.63637400000005</v>
      </c>
      <c r="X5" s="12">
        <v>745.54031599999996</v>
      </c>
      <c r="Y5" s="12">
        <v>1016.557308</v>
      </c>
      <c r="Z5" s="12">
        <v>808.72920799999997</v>
      </c>
      <c r="AA5" s="12">
        <v>877.35923400000001</v>
      </c>
      <c r="AB5" s="12">
        <v>856.07592999999997</v>
      </c>
      <c r="AC5" s="12">
        <v>681.24641599999995</v>
      </c>
      <c r="AD5" s="12">
        <v>869.27622199999996</v>
      </c>
      <c r="AE5" s="12">
        <v>1150.707656</v>
      </c>
      <c r="AF5" s="12">
        <v>645.81766200000004</v>
      </c>
      <c r="AG5" s="12">
        <v>746.58673599999997</v>
      </c>
      <c r="AH5" s="12">
        <v>806.67414599999995</v>
      </c>
      <c r="AI5" s="12">
        <v>824.79893600000003</v>
      </c>
      <c r="AJ5" s="12">
        <v>775.20579799999996</v>
      </c>
      <c r="AK5" s="12">
        <v>782.00049999999999</v>
      </c>
      <c r="AL5" s="12">
        <v>1004.6654119999999</v>
      </c>
      <c r="AM5" s="12">
        <v>800.40769599999999</v>
      </c>
      <c r="AN5" s="12">
        <v>734.61606600000005</v>
      </c>
      <c r="AO5" s="12">
        <v>1149.8565140000001</v>
      </c>
      <c r="AP5" s="12">
        <v>721.099332</v>
      </c>
      <c r="AQ5" s="12">
        <v>912.98431800000003</v>
      </c>
      <c r="AR5" s="12">
        <v>917.20096799999999</v>
      </c>
      <c r="AS5" s="12">
        <v>708.41661599999998</v>
      </c>
      <c r="AT5" s="12">
        <v>759.78899000000001</v>
      </c>
      <c r="AU5" s="12">
        <v>849.04507000000001</v>
      </c>
      <c r="AV5" s="12">
        <v>926.35036200000002</v>
      </c>
      <c r="AW5" s="12">
        <v>799.11369999999999</v>
      </c>
      <c r="AX5" s="12">
        <v>857.77915399999995</v>
      </c>
      <c r="AY5" s="12">
        <v>931.83141999999998</v>
      </c>
      <c r="AZ5" s="12">
        <v>825.92417399999999</v>
      </c>
      <c r="BA5" s="12">
        <v>921.04782399999999</v>
      </c>
      <c r="BB5" s="12">
        <v>678.57647199999997</v>
      </c>
      <c r="BC5" s="12">
        <v>673.35372199999995</v>
      </c>
      <c r="BD5" s="12">
        <v>738.58925399999998</v>
      </c>
      <c r="BE5" s="12">
        <v>704.80949399999997</v>
      </c>
      <c r="BF5" s="12">
        <v>761.51901999999995</v>
      </c>
      <c r="BG5" s="12">
        <v>723.65564400000005</v>
      </c>
      <c r="BH5" s="12">
        <v>738.15017999999998</v>
      </c>
      <c r="BI5" s="12">
        <v>852.84208000000001</v>
      </c>
      <c r="BJ5" s="12">
        <v>823.29652199999998</v>
      </c>
      <c r="BK5" s="12">
        <v>824.75496799999996</v>
      </c>
      <c r="BL5" s="12">
        <v>906.95161800000005</v>
      </c>
      <c r="BM5" s="12">
        <v>955.57029799999998</v>
      </c>
      <c r="BN5" s="12">
        <v>899.19384600000001</v>
      </c>
      <c r="BO5" s="12">
        <v>935.49534800000004</v>
      </c>
      <c r="BP5" s="12">
        <v>901.03766199999995</v>
      </c>
      <c r="BQ5" s="12">
        <v>848.08302000000003</v>
      </c>
      <c r="BR5" s="12">
        <v>881.74388599999997</v>
      </c>
      <c r="BS5" s="12">
        <v>751.75363000000004</v>
      </c>
      <c r="BT5" s="12">
        <v>1025.9843679999999</v>
      </c>
      <c r="BU5" s="12">
        <v>935.99983799999995</v>
      </c>
      <c r="BV5" s="12">
        <v>950.81969800000002</v>
      </c>
      <c r="BW5" s="13">
        <v>926.44797400000004</v>
      </c>
      <c r="BX5" s="14">
        <f t="shared" si="0"/>
        <v>837.55158471232869</v>
      </c>
      <c r="CM5" s="15">
        <v>1194.838534</v>
      </c>
    </row>
    <row r="6" spans="1:91" x14ac:dyDescent="0.2">
      <c r="A6" s="11" t="s">
        <v>82</v>
      </c>
      <c r="B6" s="9"/>
      <c r="C6">
        <v>863.32135500000004</v>
      </c>
      <c r="D6">
        <v>691.03668200000004</v>
      </c>
      <c r="E6">
        <v>684.18382299999996</v>
      </c>
      <c r="F6">
        <v>800.07921999999996</v>
      </c>
      <c r="G6">
        <v>763.80098199999998</v>
      </c>
      <c r="H6">
        <v>593.72238500000003</v>
      </c>
      <c r="I6">
        <v>868.24193100000002</v>
      </c>
      <c r="J6">
        <v>618.04176700000005</v>
      </c>
      <c r="K6">
        <v>550.49349199999995</v>
      </c>
      <c r="L6">
        <v>747.16867300000001</v>
      </c>
      <c r="M6">
        <v>728.41720599999996</v>
      </c>
      <c r="N6">
        <v>967.31730600000003</v>
      </c>
      <c r="O6">
        <v>952.16425500000003</v>
      </c>
      <c r="P6">
        <v>942.96071600000005</v>
      </c>
      <c r="Q6">
        <v>888.47185400000001</v>
      </c>
      <c r="R6">
        <v>668.22594400000003</v>
      </c>
      <c r="S6">
        <v>730.22070299999996</v>
      </c>
      <c r="T6">
        <v>762.55316500000004</v>
      </c>
      <c r="U6">
        <v>827.51004899999998</v>
      </c>
      <c r="V6">
        <v>775.036294</v>
      </c>
      <c r="W6">
        <v>492.38719500000002</v>
      </c>
      <c r="X6">
        <v>552.97236499999997</v>
      </c>
      <c r="Y6">
        <v>772.34405800000002</v>
      </c>
      <c r="Z6">
        <v>650.07369200000005</v>
      </c>
      <c r="AA6">
        <v>687.04998599999999</v>
      </c>
      <c r="AB6">
        <v>705.05348500000002</v>
      </c>
      <c r="AC6">
        <v>473.02016500000002</v>
      </c>
      <c r="AD6">
        <v>613.14513799999997</v>
      </c>
      <c r="AE6">
        <v>859.76771599999995</v>
      </c>
      <c r="AF6">
        <v>701.494551</v>
      </c>
      <c r="AG6">
        <v>759.28819699999997</v>
      </c>
      <c r="AH6">
        <v>741.69739000000004</v>
      </c>
      <c r="AI6">
        <v>669.21611399999995</v>
      </c>
      <c r="AJ6">
        <v>669.57565099999999</v>
      </c>
      <c r="AK6">
        <v>589.55229599999996</v>
      </c>
      <c r="AL6">
        <v>700.55111799999997</v>
      </c>
      <c r="AM6">
        <v>809.19447300000002</v>
      </c>
      <c r="AN6">
        <v>705.25528199999997</v>
      </c>
      <c r="AO6">
        <v>1144.8744859999999</v>
      </c>
      <c r="AP6">
        <v>745.30904799999996</v>
      </c>
      <c r="AQ6">
        <v>858.688132</v>
      </c>
      <c r="AR6">
        <v>931.77545699999996</v>
      </c>
      <c r="AS6">
        <v>698.44636400000002</v>
      </c>
      <c r="AT6">
        <v>759.89565400000004</v>
      </c>
      <c r="AU6">
        <v>812.48932100000002</v>
      </c>
      <c r="AV6">
        <v>834.81337399999995</v>
      </c>
      <c r="AW6">
        <v>704.83496500000001</v>
      </c>
      <c r="AX6">
        <v>956.46480699999995</v>
      </c>
      <c r="AY6">
        <v>741.38655000000006</v>
      </c>
      <c r="AZ6">
        <v>612.824073</v>
      </c>
      <c r="BA6">
        <v>722.66793700000005</v>
      </c>
      <c r="BB6">
        <v>577.32263399999999</v>
      </c>
      <c r="BC6">
        <v>623.56994899999995</v>
      </c>
      <c r="BD6">
        <v>667.97180400000002</v>
      </c>
      <c r="BE6">
        <v>665.76371600000004</v>
      </c>
      <c r="BF6">
        <v>745.05425000000002</v>
      </c>
      <c r="BG6">
        <v>715.56534499999998</v>
      </c>
      <c r="BH6">
        <v>790.60221999999999</v>
      </c>
      <c r="BI6">
        <v>973.97340099999997</v>
      </c>
      <c r="BJ6">
        <v>949.55893700000001</v>
      </c>
      <c r="BK6">
        <v>937.94224599999995</v>
      </c>
      <c r="BL6">
        <v>953.29269199999999</v>
      </c>
      <c r="BM6">
        <v>936.43641000000002</v>
      </c>
      <c r="BN6">
        <v>862.35398799999996</v>
      </c>
      <c r="BO6">
        <v>1011.744065</v>
      </c>
      <c r="BP6">
        <v>815.29211999999995</v>
      </c>
      <c r="BQ6">
        <v>793.07235500000002</v>
      </c>
      <c r="BR6">
        <v>862.9846</v>
      </c>
      <c r="BS6">
        <v>769.04483800000003</v>
      </c>
      <c r="BT6">
        <v>843.30420200000003</v>
      </c>
      <c r="BU6">
        <v>771.48629000000005</v>
      </c>
      <c r="BV6">
        <v>789.78529000000003</v>
      </c>
      <c r="BW6">
        <v>639.36501899999996</v>
      </c>
      <c r="BX6" s="14">
        <f t="shared" si="0"/>
        <v>764.30908510958909</v>
      </c>
      <c r="CM6" s="16">
        <v>1031.008595</v>
      </c>
    </row>
    <row r="7" spans="1:91" x14ac:dyDescent="0.2">
      <c r="A7" s="11" t="s">
        <v>83</v>
      </c>
      <c r="B7" s="9" t="s">
        <v>84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0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0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0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0</v>
      </c>
      <c r="BB7" s="12">
        <v>0</v>
      </c>
      <c r="BC7" s="12">
        <v>0</v>
      </c>
      <c r="BD7" s="12">
        <v>0</v>
      </c>
      <c r="BE7" s="12">
        <v>0</v>
      </c>
      <c r="BF7" s="12">
        <v>0</v>
      </c>
      <c r="BG7" s="12">
        <v>0</v>
      </c>
      <c r="BH7" s="12">
        <v>0</v>
      </c>
      <c r="BI7" s="12">
        <v>0</v>
      </c>
      <c r="BJ7" s="12">
        <v>0</v>
      </c>
      <c r="BK7" s="12">
        <v>0</v>
      </c>
      <c r="BL7" s="12">
        <v>0</v>
      </c>
      <c r="BM7" s="12">
        <v>0</v>
      </c>
      <c r="BN7" s="12">
        <v>0</v>
      </c>
      <c r="BO7" s="12">
        <v>0</v>
      </c>
      <c r="BP7" s="12">
        <v>0</v>
      </c>
      <c r="BQ7" s="12">
        <v>0</v>
      </c>
      <c r="BR7" s="12">
        <v>0</v>
      </c>
      <c r="BS7" s="12">
        <v>0</v>
      </c>
      <c r="BT7" s="12">
        <v>0</v>
      </c>
      <c r="BU7" s="12">
        <v>0</v>
      </c>
      <c r="BV7" s="12">
        <v>0</v>
      </c>
      <c r="BW7" s="13">
        <v>0</v>
      </c>
      <c r="BX7" s="14">
        <f t="shared" si="0"/>
        <v>0</v>
      </c>
      <c r="CM7" s="15">
        <v>0</v>
      </c>
    </row>
    <row r="8" spans="1:91" x14ac:dyDescent="0.2">
      <c r="A8" s="11" t="s">
        <v>85</v>
      </c>
      <c r="B8" s="9" t="s">
        <v>85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0</v>
      </c>
      <c r="AN8" s="12">
        <v>0</v>
      </c>
      <c r="AO8" s="12">
        <v>0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0</v>
      </c>
      <c r="BB8" s="12">
        <v>0</v>
      </c>
      <c r="BC8" s="12">
        <v>0</v>
      </c>
      <c r="BD8" s="12">
        <v>0</v>
      </c>
      <c r="BE8" s="12">
        <v>0</v>
      </c>
      <c r="BF8" s="12">
        <v>0</v>
      </c>
      <c r="BG8" s="12">
        <v>0</v>
      </c>
      <c r="BH8" s="12">
        <v>0</v>
      </c>
      <c r="BI8" s="12">
        <v>0</v>
      </c>
      <c r="BJ8" s="12">
        <v>0</v>
      </c>
      <c r="BK8" s="12">
        <v>0</v>
      </c>
      <c r="BL8" s="12">
        <v>0</v>
      </c>
      <c r="BM8" s="12">
        <v>0</v>
      </c>
      <c r="BN8" s="12">
        <v>0</v>
      </c>
      <c r="BO8" s="12">
        <v>0</v>
      </c>
      <c r="BP8" s="12">
        <v>0</v>
      </c>
      <c r="BQ8" s="12">
        <v>0</v>
      </c>
      <c r="BR8" s="12">
        <v>0</v>
      </c>
      <c r="BS8" s="12">
        <v>0</v>
      </c>
      <c r="BT8" s="12">
        <v>0</v>
      </c>
      <c r="BU8" s="12">
        <v>0</v>
      </c>
      <c r="BV8" s="12">
        <v>0</v>
      </c>
      <c r="BW8" s="13">
        <v>0</v>
      </c>
      <c r="BX8" s="14">
        <f t="shared" si="0"/>
        <v>0</v>
      </c>
      <c r="CM8" s="15">
        <v>0</v>
      </c>
    </row>
    <row r="9" spans="1:91" x14ac:dyDescent="0.2">
      <c r="A9" s="11" t="s">
        <v>86</v>
      </c>
      <c r="B9" s="9" t="s">
        <v>87</v>
      </c>
      <c r="C9" s="12">
        <v>69.412409999999994</v>
      </c>
      <c r="D9" s="12">
        <v>32.642001999999998</v>
      </c>
      <c r="E9" s="12">
        <v>38.634113999999997</v>
      </c>
      <c r="F9" s="12">
        <v>38.186360000000001</v>
      </c>
      <c r="G9" s="12">
        <v>46.078330000000001</v>
      </c>
      <c r="H9" s="12">
        <v>37.219247000000003</v>
      </c>
      <c r="I9" s="12">
        <v>37.637036999999999</v>
      </c>
      <c r="J9" s="12">
        <v>58.404009000000002</v>
      </c>
      <c r="K9" s="12">
        <v>57.345277000000003</v>
      </c>
      <c r="L9" s="12">
        <v>56.143982999999999</v>
      </c>
      <c r="M9" s="12">
        <v>58.033110999999998</v>
      </c>
      <c r="N9" s="12">
        <v>71.453992999999997</v>
      </c>
      <c r="O9" s="12">
        <v>55.261606999999998</v>
      </c>
      <c r="P9" s="12">
        <v>46.843103999999997</v>
      </c>
      <c r="Q9" s="12">
        <v>61.496043</v>
      </c>
      <c r="R9" s="12">
        <v>47.353599000000003</v>
      </c>
      <c r="S9" s="12">
        <v>49.944789</v>
      </c>
      <c r="T9" s="12">
        <v>41.522568</v>
      </c>
      <c r="U9" s="12">
        <v>43.086266000000002</v>
      </c>
      <c r="V9" s="12">
        <v>43.055089000000002</v>
      </c>
      <c r="W9" s="12">
        <v>49.568471000000002</v>
      </c>
      <c r="X9" s="12">
        <v>42.784681999999997</v>
      </c>
      <c r="Y9" s="12">
        <v>65.049087</v>
      </c>
      <c r="Z9" s="12">
        <v>47.036987000000003</v>
      </c>
      <c r="AA9" s="12">
        <v>54.757784000000001</v>
      </c>
      <c r="AB9" s="12">
        <v>51.770637999999998</v>
      </c>
      <c r="AC9" s="12">
        <v>38.869351999999999</v>
      </c>
      <c r="AD9" s="12">
        <v>51.803544000000002</v>
      </c>
      <c r="AE9" s="12">
        <v>71.170688999999996</v>
      </c>
      <c r="AF9" s="12">
        <v>39.232534000000001</v>
      </c>
      <c r="AG9" s="12">
        <v>49.623296000000003</v>
      </c>
      <c r="AH9" s="12">
        <v>49.279491999999998</v>
      </c>
      <c r="AI9" s="12">
        <v>52.291327000000003</v>
      </c>
      <c r="AJ9" s="12">
        <v>44.373793999999997</v>
      </c>
      <c r="AK9" s="12">
        <v>49.266463000000002</v>
      </c>
      <c r="AL9" s="12">
        <v>56.484051999999998</v>
      </c>
      <c r="AM9" s="12">
        <v>49.198630000000001</v>
      </c>
      <c r="AN9" s="12">
        <v>48.583312999999997</v>
      </c>
      <c r="AO9" s="12">
        <v>66.069874999999996</v>
      </c>
      <c r="AP9" s="12">
        <v>42.895772000000001</v>
      </c>
      <c r="AQ9" s="12">
        <v>58.669699999999999</v>
      </c>
      <c r="AR9" s="12">
        <v>53.440964000000001</v>
      </c>
      <c r="AS9" s="12">
        <v>43.201604000000003</v>
      </c>
      <c r="AT9" s="12">
        <v>48.063560000000003</v>
      </c>
      <c r="AU9" s="12">
        <v>53.053722</v>
      </c>
      <c r="AV9" s="12">
        <v>57.962612999999997</v>
      </c>
      <c r="AW9" s="12">
        <v>27.889606000000001</v>
      </c>
      <c r="AX9" s="12">
        <v>49.948965999999999</v>
      </c>
      <c r="AY9" s="12">
        <v>60.063287000000003</v>
      </c>
      <c r="AZ9" s="12">
        <v>54.346094000000001</v>
      </c>
      <c r="BA9" s="12">
        <v>53.730061999999997</v>
      </c>
      <c r="BB9" s="12">
        <v>41.167529999999999</v>
      </c>
      <c r="BC9" s="12">
        <v>44.015270999999998</v>
      </c>
      <c r="BD9" s="12">
        <v>45.518701</v>
      </c>
      <c r="BE9" s="12">
        <v>42.282120999999997</v>
      </c>
      <c r="BF9" s="12">
        <v>43.413620999999999</v>
      </c>
      <c r="BG9" s="12">
        <v>44.402721</v>
      </c>
      <c r="BH9" s="12">
        <v>42.543599</v>
      </c>
      <c r="BI9" s="12">
        <v>54.872112000000001</v>
      </c>
      <c r="BJ9" s="12">
        <v>50.563744999999997</v>
      </c>
      <c r="BK9" s="12">
        <v>51.591628</v>
      </c>
      <c r="BL9" s="12">
        <v>57.128366</v>
      </c>
      <c r="BM9" s="12">
        <v>57.831432</v>
      </c>
      <c r="BN9" s="12">
        <v>56.091833999999999</v>
      </c>
      <c r="BO9" s="12">
        <v>59.208300999999999</v>
      </c>
      <c r="BP9" s="12">
        <v>52.585932999999997</v>
      </c>
      <c r="BQ9" s="12">
        <v>53.223083000000003</v>
      </c>
      <c r="BR9" s="12">
        <v>50.983432999999998</v>
      </c>
      <c r="BS9" s="12">
        <v>40.597053000000002</v>
      </c>
      <c r="BT9" s="12">
        <v>67.302982</v>
      </c>
      <c r="BU9" s="12">
        <v>61.549292999999999</v>
      </c>
      <c r="BV9" s="12">
        <v>55.314238000000003</v>
      </c>
      <c r="BW9" s="13">
        <v>56.621558999999998</v>
      </c>
      <c r="BX9" s="14">
        <f t="shared" si="0"/>
        <v>50.671800739726038</v>
      </c>
      <c r="CM9" s="15">
        <v>74.302325999999994</v>
      </c>
    </row>
    <row r="10" spans="1:91" x14ac:dyDescent="0.2">
      <c r="A10" s="11" t="s">
        <v>88</v>
      </c>
      <c r="B10" s="9" t="s">
        <v>88</v>
      </c>
      <c r="C10" s="12">
        <v>180403.06755400001</v>
      </c>
      <c r="D10" s="12">
        <v>83015.675495000003</v>
      </c>
      <c r="E10" s="12">
        <v>95955.181175000005</v>
      </c>
      <c r="F10" s="12">
        <v>90248.761910999994</v>
      </c>
      <c r="G10" s="12">
        <v>111910.57574</v>
      </c>
      <c r="H10" s="12">
        <v>96302.944732000004</v>
      </c>
      <c r="I10" s="12">
        <v>96560.606925999993</v>
      </c>
      <c r="J10" s="12">
        <v>160790.06332300001</v>
      </c>
      <c r="K10" s="12">
        <v>145317.869749</v>
      </c>
      <c r="L10" s="12">
        <v>150625.857556</v>
      </c>
      <c r="M10" s="12">
        <v>139755.99483800001</v>
      </c>
      <c r="N10" s="12">
        <v>190316.03232</v>
      </c>
      <c r="O10" s="12">
        <v>139511.68877400001</v>
      </c>
      <c r="P10" s="12">
        <v>127019.85428299999</v>
      </c>
      <c r="Q10" s="12">
        <v>132874.33420300001</v>
      </c>
      <c r="R10" s="12">
        <v>108042.843089</v>
      </c>
      <c r="S10" s="12">
        <v>113569.44287899999</v>
      </c>
      <c r="T10" s="12">
        <v>95768.825742999994</v>
      </c>
      <c r="U10" s="12">
        <v>105583.46196099999</v>
      </c>
      <c r="V10" s="12">
        <v>104684.22756299999</v>
      </c>
      <c r="W10" s="12">
        <v>111493.918534</v>
      </c>
      <c r="X10" s="12">
        <v>110923.79317600001</v>
      </c>
      <c r="Y10" s="12">
        <v>151379.883852</v>
      </c>
      <c r="Z10" s="12">
        <v>120211.056984</v>
      </c>
      <c r="AA10" s="12">
        <v>130362.98366300001</v>
      </c>
      <c r="AB10" s="12">
        <v>127148.173027</v>
      </c>
      <c r="AC10" s="12">
        <v>102806.513705</v>
      </c>
      <c r="AD10" s="12">
        <v>131022.39505399999</v>
      </c>
      <c r="AE10" s="12">
        <v>171305.82348399999</v>
      </c>
      <c r="AF10" s="12">
        <v>95829.724734999996</v>
      </c>
      <c r="AG10" s="12">
        <v>110840.903903</v>
      </c>
      <c r="AH10" s="12">
        <v>119748.322912</v>
      </c>
      <c r="AI10" s="12">
        <v>121765.212654</v>
      </c>
      <c r="AJ10" s="12">
        <v>114858.618524</v>
      </c>
      <c r="AK10" s="12">
        <v>116362.12037600001</v>
      </c>
      <c r="AL10" s="12">
        <v>149669.41706899999</v>
      </c>
      <c r="AM10" s="12">
        <v>118536.850403</v>
      </c>
      <c r="AN10" s="12">
        <v>108963.72205700001</v>
      </c>
      <c r="AO10" s="12">
        <v>170659.78802800001</v>
      </c>
      <c r="AP10" s="12">
        <v>106837.84746600001</v>
      </c>
      <c r="AQ10" s="12">
        <v>135564.68734100001</v>
      </c>
      <c r="AR10" s="12">
        <v>136113.56690899999</v>
      </c>
      <c r="AS10" s="12">
        <v>105311.136293</v>
      </c>
      <c r="AT10" s="12">
        <v>113015.116343</v>
      </c>
      <c r="AU10" s="12">
        <v>126322.31830299999</v>
      </c>
      <c r="AV10" s="12">
        <v>137303.03010900001</v>
      </c>
      <c r="AW10" s="12">
        <v>118792.04790000001</v>
      </c>
      <c r="AX10" s="12">
        <v>127102.564571</v>
      </c>
      <c r="AY10" s="12">
        <v>137363.912694</v>
      </c>
      <c r="AZ10" s="12">
        <v>121509.765187</v>
      </c>
      <c r="BA10" s="12">
        <v>136067.32692200001</v>
      </c>
      <c r="BB10" s="12">
        <v>100429.102768</v>
      </c>
      <c r="BC10" s="12">
        <v>99964.796205000006</v>
      </c>
      <c r="BD10" s="12">
        <v>109577.253431</v>
      </c>
      <c r="BE10" s="12">
        <v>104505.297828</v>
      </c>
      <c r="BF10" s="12">
        <v>112975.307329</v>
      </c>
      <c r="BG10" s="12">
        <v>107319.571477</v>
      </c>
      <c r="BH10" s="12">
        <v>109509.829944</v>
      </c>
      <c r="BI10" s="12">
        <v>126609.18685699999</v>
      </c>
      <c r="BJ10" s="12">
        <v>122288.41699300001</v>
      </c>
      <c r="BK10" s="12">
        <v>121863.87605200001</v>
      </c>
      <c r="BL10" s="12">
        <v>134284.41132099999</v>
      </c>
      <c r="BM10" s="12">
        <v>142048.463472</v>
      </c>
      <c r="BN10" s="12">
        <v>133770.24148</v>
      </c>
      <c r="BO10" s="12">
        <v>138708.297426</v>
      </c>
      <c r="BP10" s="12">
        <v>133852.110342</v>
      </c>
      <c r="BQ10" s="12">
        <v>126216.096473</v>
      </c>
      <c r="BR10" s="12">
        <v>131057.217518</v>
      </c>
      <c r="BS10" s="12">
        <v>111408.378239</v>
      </c>
      <c r="BT10" s="12">
        <v>152769.995646</v>
      </c>
      <c r="BU10" s="12">
        <v>139344.27170499999</v>
      </c>
      <c r="BV10" s="12">
        <v>141533.333105</v>
      </c>
      <c r="BW10" s="13">
        <v>139406.33192299999</v>
      </c>
      <c r="BX10" s="14">
        <f t="shared" si="0"/>
        <v>124560.15944556164</v>
      </c>
      <c r="CM10" s="15">
        <v>178353.71886399999</v>
      </c>
    </row>
    <row r="11" spans="1:91" x14ac:dyDescent="0.2">
      <c r="A11" s="11" t="s">
        <v>89</v>
      </c>
      <c r="B11" s="9" t="s">
        <v>90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12">
        <v>0</v>
      </c>
      <c r="X11" s="12">
        <v>0</v>
      </c>
      <c r="Y11" s="12">
        <v>0</v>
      </c>
      <c r="Z11" s="12">
        <v>0</v>
      </c>
      <c r="AA11" s="12">
        <v>0</v>
      </c>
      <c r="AB11" s="12">
        <v>0</v>
      </c>
      <c r="AC11" s="12">
        <v>0</v>
      </c>
      <c r="AD11" s="12">
        <v>0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0</v>
      </c>
      <c r="AN11" s="12">
        <v>0</v>
      </c>
      <c r="AO11" s="12">
        <v>0</v>
      </c>
      <c r="AP11" s="12">
        <v>0</v>
      </c>
      <c r="AQ11" s="12">
        <v>0</v>
      </c>
      <c r="AR11" s="12">
        <v>0</v>
      </c>
      <c r="AS11" s="12">
        <v>0</v>
      </c>
      <c r="AT11" s="12">
        <v>0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0</v>
      </c>
      <c r="BA11" s="12">
        <v>0</v>
      </c>
      <c r="BB11" s="12">
        <v>0</v>
      </c>
      <c r="BC11" s="12">
        <v>0</v>
      </c>
      <c r="BD11" s="12">
        <v>0</v>
      </c>
      <c r="BE11" s="12">
        <v>0</v>
      </c>
      <c r="BF11" s="12">
        <v>0</v>
      </c>
      <c r="BG11" s="12">
        <v>0</v>
      </c>
      <c r="BH11" s="12">
        <v>0</v>
      </c>
      <c r="BI11" s="12">
        <v>0</v>
      </c>
      <c r="BJ11" s="12">
        <v>0</v>
      </c>
      <c r="BK11" s="12">
        <v>0</v>
      </c>
      <c r="BL11" s="12">
        <v>0</v>
      </c>
      <c r="BM11" s="12">
        <v>0</v>
      </c>
      <c r="BN11" s="12">
        <v>0</v>
      </c>
      <c r="BO11" s="12">
        <v>0</v>
      </c>
      <c r="BP11" s="12">
        <v>0</v>
      </c>
      <c r="BQ11" s="12">
        <v>0</v>
      </c>
      <c r="BR11" s="12">
        <v>0</v>
      </c>
      <c r="BS11" s="12">
        <v>0</v>
      </c>
      <c r="BT11" s="12">
        <v>0</v>
      </c>
      <c r="BU11" s="12">
        <v>0</v>
      </c>
      <c r="BV11" s="12">
        <v>0</v>
      </c>
      <c r="BW11" s="13">
        <v>0</v>
      </c>
      <c r="BX11" s="14">
        <f t="shared" si="0"/>
        <v>0</v>
      </c>
      <c r="CM11" s="15">
        <v>0</v>
      </c>
    </row>
    <row r="12" spans="1:91" x14ac:dyDescent="0.2">
      <c r="A12" s="11" t="s">
        <v>91</v>
      </c>
      <c r="B12" s="9" t="s">
        <v>91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</v>
      </c>
      <c r="AM12" s="12">
        <v>0</v>
      </c>
      <c r="AN12" s="12">
        <v>0</v>
      </c>
      <c r="AO12" s="12">
        <v>0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0</v>
      </c>
      <c r="BA12" s="12">
        <v>0</v>
      </c>
      <c r="BB12" s="12">
        <v>0</v>
      </c>
      <c r="BC12" s="12">
        <v>0</v>
      </c>
      <c r="BD12" s="12">
        <v>0</v>
      </c>
      <c r="BE12" s="12">
        <v>0</v>
      </c>
      <c r="BF12" s="12">
        <v>0</v>
      </c>
      <c r="BG12" s="12">
        <v>0</v>
      </c>
      <c r="BH12" s="12">
        <v>0</v>
      </c>
      <c r="BI12" s="12">
        <v>0</v>
      </c>
      <c r="BJ12" s="12">
        <v>0</v>
      </c>
      <c r="BK12" s="12">
        <v>0</v>
      </c>
      <c r="BL12" s="12">
        <v>0</v>
      </c>
      <c r="BM12" s="12">
        <v>0</v>
      </c>
      <c r="BN12" s="12">
        <v>0</v>
      </c>
      <c r="BO12" s="12">
        <v>0</v>
      </c>
      <c r="BP12" s="12">
        <v>0</v>
      </c>
      <c r="BQ12" s="12">
        <v>0</v>
      </c>
      <c r="BR12" s="12">
        <v>0</v>
      </c>
      <c r="BS12" s="12">
        <v>0</v>
      </c>
      <c r="BT12" s="12">
        <v>0</v>
      </c>
      <c r="BU12" s="12">
        <v>0</v>
      </c>
      <c r="BV12" s="12">
        <v>0</v>
      </c>
      <c r="BW12" s="13">
        <v>0</v>
      </c>
      <c r="BX12" s="14">
        <f t="shared" si="0"/>
        <v>0</v>
      </c>
      <c r="CM12" s="15">
        <v>0</v>
      </c>
    </row>
    <row r="13" spans="1:91" x14ac:dyDescent="0.2">
      <c r="A13" s="11" t="s">
        <v>92</v>
      </c>
      <c r="B13" s="9" t="s">
        <v>92</v>
      </c>
      <c r="C13" s="12">
        <v>1.004937</v>
      </c>
      <c r="D13" s="12">
        <v>1.1500250000000001</v>
      </c>
      <c r="E13" s="12">
        <v>1.2005619999999999</v>
      </c>
      <c r="F13" s="12">
        <v>1.3921539999999999</v>
      </c>
      <c r="G13" s="12">
        <v>0.68415700000000002</v>
      </c>
      <c r="H13" s="12">
        <v>0.46661200000000003</v>
      </c>
      <c r="I13" s="12">
        <v>1.5766709999999999</v>
      </c>
      <c r="J13" s="12">
        <v>1.112115</v>
      </c>
      <c r="K13" s="12">
        <v>1.4806539999999999</v>
      </c>
      <c r="L13" s="12">
        <v>1.536305</v>
      </c>
      <c r="M13" s="12">
        <v>0.85218799999999995</v>
      </c>
      <c r="N13" s="12">
        <v>1.157678</v>
      </c>
      <c r="O13" s="12">
        <v>0.80912499999999998</v>
      </c>
      <c r="P13" s="12">
        <v>0.89992799999999995</v>
      </c>
      <c r="Q13" s="12">
        <v>0.82301199999999997</v>
      </c>
      <c r="R13" s="12">
        <v>0.743251</v>
      </c>
      <c r="S13" s="12">
        <v>0.85397599999999996</v>
      </c>
      <c r="T13" s="12">
        <v>0.59872899999999996</v>
      </c>
      <c r="U13" s="12">
        <v>0.693994</v>
      </c>
      <c r="V13" s="12">
        <v>0.67710099999999995</v>
      </c>
      <c r="W13" s="12">
        <v>0.63560000000000005</v>
      </c>
      <c r="X13" s="12">
        <v>0.64666000000000001</v>
      </c>
      <c r="Y13" s="12">
        <v>0.84152899999999997</v>
      </c>
      <c r="Z13" s="12">
        <v>0.87723600000000002</v>
      </c>
      <c r="AA13" s="12">
        <v>0.93580600000000003</v>
      </c>
      <c r="AB13" s="12">
        <v>0.96625399999999995</v>
      </c>
      <c r="AC13" s="12">
        <v>2.5873089999999999</v>
      </c>
      <c r="AD13" s="12">
        <v>2.6799900000000001</v>
      </c>
      <c r="AE13" s="12">
        <v>0.99968699999999999</v>
      </c>
      <c r="AF13" s="12">
        <v>0.87959500000000002</v>
      </c>
      <c r="AG13" s="12">
        <v>1.047436</v>
      </c>
      <c r="AH13" s="12">
        <v>0.81734799999999996</v>
      </c>
      <c r="AI13" s="12">
        <v>1.0343389999999999</v>
      </c>
      <c r="AJ13" s="12">
        <v>0.87877899999999998</v>
      </c>
      <c r="AK13" s="12">
        <v>0.67662900000000004</v>
      </c>
      <c r="AL13" s="12">
        <v>0.805369</v>
      </c>
      <c r="AM13" s="12">
        <v>0.86896200000000001</v>
      </c>
      <c r="AN13" s="12">
        <v>0.67439099999999996</v>
      </c>
      <c r="AO13" s="12">
        <v>1.073771</v>
      </c>
      <c r="AP13" s="12">
        <v>0.74292999999999998</v>
      </c>
      <c r="AQ13" s="12">
        <v>0.85043100000000005</v>
      </c>
      <c r="AR13" s="12">
        <v>0.86801200000000001</v>
      </c>
      <c r="AS13" s="12">
        <v>0.77595199999999998</v>
      </c>
      <c r="AT13" s="12">
        <v>0.89600599999999997</v>
      </c>
      <c r="AU13" s="12">
        <v>0.65495000000000003</v>
      </c>
      <c r="AV13" s="12">
        <v>0.87707000000000002</v>
      </c>
      <c r="AW13" s="12">
        <v>0.84797599999999995</v>
      </c>
      <c r="AX13" s="12">
        <v>0.74343700000000001</v>
      </c>
      <c r="AY13" s="12">
        <v>0.76808299999999996</v>
      </c>
      <c r="AZ13" s="12">
        <v>0.72192999999999996</v>
      </c>
      <c r="BA13" s="12">
        <v>0.75018499999999999</v>
      </c>
      <c r="BB13" s="12">
        <v>0.94124600000000003</v>
      </c>
      <c r="BC13" s="12">
        <v>0.66569999999999996</v>
      </c>
      <c r="BD13" s="12">
        <v>0.82772500000000004</v>
      </c>
      <c r="BE13" s="12">
        <v>0.70292200000000005</v>
      </c>
      <c r="BF13" s="12">
        <v>0.73693900000000001</v>
      </c>
      <c r="BG13" s="12">
        <v>0.71316500000000005</v>
      </c>
      <c r="BH13" s="12">
        <v>0.71291700000000002</v>
      </c>
      <c r="BI13" s="12">
        <v>0.87412599999999996</v>
      </c>
      <c r="BJ13" s="12">
        <v>0.827125</v>
      </c>
      <c r="BK13" s="12">
        <v>0.88347500000000001</v>
      </c>
      <c r="BL13" s="12">
        <v>0.91152599999999995</v>
      </c>
      <c r="BM13" s="12">
        <v>0.68043399999999998</v>
      </c>
      <c r="BN13" s="12">
        <v>0.67590600000000001</v>
      </c>
      <c r="BO13" s="12">
        <v>0.87534999999999996</v>
      </c>
      <c r="BP13" s="12">
        <v>0.71345400000000003</v>
      </c>
      <c r="BQ13" s="12">
        <v>0.69094199999999995</v>
      </c>
      <c r="BR13" s="12">
        <v>0.697631</v>
      </c>
      <c r="BS13" s="12">
        <v>0.55952299999999999</v>
      </c>
      <c r="BT13" s="12">
        <v>0.91694600000000004</v>
      </c>
      <c r="BU13" s="12">
        <v>0.84867800000000004</v>
      </c>
      <c r="BV13" s="12">
        <v>0.76246100000000006</v>
      </c>
      <c r="BW13" s="13">
        <v>2.1384530000000002</v>
      </c>
      <c r="BX13" s="14">
        <f t="shared" si="0"/>
        <v>0.92456808219178099</v>
      </c>
      <c r="CM13" s="15">
        <v>1.048683</v>
      </c>
    </row>
    <row r="14" spans="1:91" x14ac:dyDescent="0.2">
      <c r="A14" s="11" t="s">
        <v>93</v>
      </c>
      <c r="B14" s="9" t="s">
        <v>93</v>
      </c>
      <c r="C14" s="12">
        <v>0.17809800000000001</v>
      </c>
      <c r="D14" s="12">
        <v>0.16672699999999999</v>
      </c>
      <c r="E14" s="12">
        <v>0.17953</v>
      </c>
      <c r="F14" s="12">
        <v>0.250442</v>
      </c>
      <c r="G14" s="12">
        <v>0.13958300000000001</v>
      </c>
      <c r="H14" s="12">
        <v>9.8196000000000006E-2</v>
      </c>
      <c r="I14" s="12">
        <v>0.261208</v>
      </c>
      <c r="J14" s="12">
        <v>0.14541399999999999</v>
      </c>
      <c r="K14" s="12">
        <v>0.205035</v>
      </c>
      <c r="L14" s="12">
        <v>0.170402</v>
      </c>
      <c r="M14" s="12">
        <v>0.26472699999999999</v>
      </c>
      <c r="N14" s="12">
        <v>0.426145</v>
      </c>
      <c r="O14" s="12">
        <v>0.22384399999999999</v>
      </c>
      <c r="P14" s="12">
        <v>0.134187</v>
      </c>
      <c r="Q14" s="12">
        <v>0.25485099999999999</v>
      </c>
      <c r="R14" s="12">
        <v>0.15156500000000001</v>
      </c>
      <c r="S14" s="12">
        <v>0.22420599999999999</v>
      </c>
      <c r="T14" s="12">
        <v>0.12689800000000001</v>
      </c>
      <c r="U14" s="12">
        <v>0.15803</v>
      </c>
      <c r="V14" s="12">
        <v>0.14150099999999999</v>
      </c>
      <c r="W14" s="12">
        <v>0.148946</v>
      </c>
      <c r="X14" s="12">
        <v>0.13187099999999999</v>
      </c>
      <c r="Y14" s="12">
        <v>0.18416399999999999</v>
      </c>
      <c r="Z14" s="12">
        <v>0.24092</v>
      </c>
      <c r="AA14" s="12">
        <v>0.21945200000000001</v>
      </c>
      <c r="AB14" s="12">
        <v>0.26577699999999999</v>
      </c>
      <c r="AC14" s="12">
        <v>0.15382999999999999</v>
      </c>
      <c r="AD14" s="12">
        <v>0.24240700000000001</v>
      </c>
      <c r="AE14" s="12">
        <v>0.32660699999999998</v>
      </c>
      <c r="AF14" s="12">
        <v>0.19164600000000001</v>
      </c>
      <c r="AG14" s="12">
        <v>0.19949900000000001</v>
      </c>
      <c r="AH14" s="12">
        <v>0.20310600000000001</v>
      </c>
      <c r="AI14" s="12">
        <v>0.22075700000000001</v>
      </c>
      <c r="AJ14" s="12">
        <v>0.21185599999999999</v>
      </c>
      <c r="AK14" s="12">
        <v>0.15754099999999999</v>
      </c>
      <c r="AL14" s="12">
        <v>0.20762800000000001</v>
      </c>
      <c r="AM14" s="12">
        <v>0.16014600000000001</v>
      </c>
      <c r="AN14" s="12">
        <v>0.182444</v>
      </c>
      <c r="AO14" s="12">
        <v>0.30256100000000002</v>
      </c>
      <c r="AP14" s="12">
        <v>0.192908</v>
      </c>
      <c r="AQ14" s="12">
        <v>0.182868</v>
      </c>
      <c r="AR14" s="12">
        <v>0.25250299999999998</v>
      </c>
      <c r="AS14" s="12">
        <v>0.16831199999999999</v>
      </c>
      <c r="AT14" s="12">
        <v>0.21054500000000001</v>
      </c>
      <c r="AU14" s="12">
        <v>0.12256300000000001</v>
      </c>
      <c r="AV14" s="12">
        <v>0.17613599999999999</v>
      </c>
      <c r="AW14" s="12">
        <v>0.29615799999999998</v>
      </c>
      <c r="AX14" s="12">
        <v>0.217972</v>
      </c>
      <c r="AY14" s="12">
        <v>0.168076</v>
      </c>
      <c r="AZ14" s="12">
        <v>0.14599500000000001</v>
      </c>
      <c r="BA14" s="12">
        <v>0.17812500000000001</v>
      </c>
      <c r="BB14" s="12">
        <v>0.17369200000000001</v>
      </c>
      <c r="BC14" s="12">
        <v>0.16376599999999999</v>
      </c>
      <c r="BD14" s="12">
        <v>0.193581</v>
      </c>
      <c r="BE14" s="12">
        <v>0.14629</v>
      </c>
      <c r="BF14" s="12">
        <v>0.19595299999999999</v>
      </c>
      <c r="BG14" s="12">
        <v>0.17342399999999999</v>
      </c>
      <c r="BH14" s="12">
        <v>0.15171699999999999</v>
      </c>
      <c r="BI14" s="12">
        <v>0.222108</v>
      </c>
      <c r="BJ14" s="12">
        <v>0.19908600000000001</v>
      </c>
      <c r="BK14" s="12">
        <v>0.19625799999999999</v>
      </c>
      <c r="BL14" s="12">
        <v>0.18723799999999999</v>
      </c>
      <c r="BM14" s="12">
        <v>0.16800799999999999</v>
      </c>
      <c r="BN14" s="12">
        <v>0.17613899999999999</v>
      </c>
      <c r="BO14" s="12">
        <v>0.18212100000000001</v>
      </c>
      <c r="BP14" s="12">
        <v>0.127056</v>
      </c>
      <c r="BQ14" s="12">
        <v>0.16111500000000001</v>
      </c>
      <c r="BR14" s="12">
        <v>0.14810599999999999</v>
      </c>
      <c r="BS14" s="12">
        <v>0.16200800000000001</v>
      </c>
      <c r="BT14" s="12">
        <v>0.23941599999999999</v>
      </c>
      <c r="BU14" s="12">
        <v>0.22060199999999999</v>
      </c>
      <c r="BV14" s="12">
        <v>0.20011799999999999</v>
      </c>
      <c r="BW14" s="13">
        <v>0.158721</v>
      </c>
      <c r="BX14" s="14">
        <f t="shared" si="0"/>
        <v>0.19329357534246577</v>
      </c>
      <c r="CM14" s="15">
        <v>0.25322499999999998</v>
      </c>
    </row>
    <row r="15" spans="1:91" x14ac:dyDescent="0.2">
      <c r="A15" s="11" t="s">
        <v>94</v>
      </c>
      <c r="B15" s="9" t="s">
        <v>94</v>
      </c>
      <c r="C15" s="12">
        <v>605.63591199999996</v>
      </c>
      <c r="D15" s="12">
        <v>274.54243100000002</v>
      </c>
      <c r="E15" s="12">
        <v>317.24949900000001</v>
      </c>
      <c r="F15" s="12">
        <v>298.20376099999999</v>
      </c>
      <c r="G15" s="12">
        <v>371.59496799999999</v>
      </c>
      <c r="H15" s="12">
        <v>320.24098300000003</v>
      </c>
      <c r="I15" s="12">
        <v>319.79801500000002</v>
      </c>
      <c r="J15" s="12">
        <v>535.73951999999997</v>
      </c>
      <c r="K15" s="12">
        <v>483.64787200000001</v>
      </c>
      <c r="L15" s="12">
        <v>501.61498</v>
      </c>
      <c r="M15" s="12">
        <v>469.36520400000001</v>
      </c>
      <c r="N15" s="12">
        <v>638.84807000000001</v>
      </c>
      <c r="O15" s="12">
        <v>463.879797</v>
      </c>
      <c r="P15" s="12">
        <v>422.176357</v>
      </c>
      <c r="Q15" s="12">
        <v>441.71422000000001</v>
      </c>
      <c r="R15" s="12">
        <v>359.519857</v>
      </c>
      <c r="S15" s="12">
        <v>377.82091300000002</v>
      </c>
      <c r="T15" s="12">
        <v>318.73803199999998</v>
      </c>
      <c r="U15" s="12">
        <v>351.15962400000001</v>
      </c>
      <c r="V15" s="12">
        <v>348.371599</v>
      </c>
      <c r="W15" s="12">
        <v>374.46855199999999</v>
      </c>
      <c r="X15" s="12">
        <v>372.46658400000001</v>
      </c>
      <c r="Y15" s="12">
        <v>507.911968</v>
      </c>
      <c r="Z15" s="12">
        <v>399.35180000000003</v>
      </c>
      <c r="AA15" s="12">
        <v>432.80133000000001</v>
      </c>
      <c r="AB15" s="12">
        <v>422.34330999999997</v>
      </c>
      <c r="AC15" s="12">
        <v>339.91850299999999</v>
      </c>
      <c r="AD15" s="12">
        <v>433.919241</v>
      </c>
      <c r="AE15" s="12">
        <v>574.86257000000001</v>
      </c>
      <c r="AF15" s="12">
        <v>319.77951000000002</v>
      </c>
      <c r="AG15" s="12">
        <v>369.76266199999998</v>
      </c>
      <c r="AH15" s="12">
        <v>398.60124200000001</v>
      </c>
      <c r="AI15" s="12">
        <v>402.89398799999998</v>
      </c>
      <c r="AJ15" s="12">
        <v>381.09144700000002</v>
      </c>
      <c r="AK15" s="12">
        <v>390.64530000000002</v>
      </c>
      <c r="AL15" s="12">
        <v>502.06665800000002</v>
      </c>
      <c r="AM15" s="12">
        <v>394.15415400000001</v>
      </c>
      <c r="AN15" s="12">
        <v>361.35219999999998</v>
      </c>
      <c r="AO15" s="12">
        <v>566.15371200000004</v>
      </c>
      <c r="AP15" s="12">
        <v>355.25875200000002</v>
      </c>
      <c r="AQ15" s="12">
        <v>450.081748</v>
      </c>
      <c r="AR15" s="12">
        <v>452.19573700000001</v>
      </c>
      <c r="AS15" s="12">
        <v>350.98235399999999</v>
      </c>
      <c r="AT15" s="12">
        <v>376.71777500000002</v>
      </c>
      <c r="AU15" s="12">
        <v>420.31388500000003</v>
      </c>
      <c r="AV15" s="12">
        <v>455.57268499999998</v>
      </c>
      <c r="AW15" s="12">
        <v>395.50984099999999</v>
      </c>
      <c r="AX15" s="12">
        <v>423.24039800000003</v>
      </c>
      <c r="AY15" s="12">
        <v>452.73935699999998</v>
      </c>
      <c r="AZ15" s="12">
        <v>399.43902600000001</v>
      </c>
      <c r="BA15" s="12">
        <v>449.17047700000001</v>
      </c>
      <c r="BB15" s="12">
        <v>333.54658699999999</v>
      </c>
      <c r="BC15" s="12">
        <v>332.73099500000001</v>
      </c>
      <c r="BD15" s="12">
        <v>364.50000899999998</v>
      </c>
      <c r="BE15" s="12">
        <v>348.00850300000002</v>
      </c>
      <c r="BF15" s="12">
        <v>375.68697200000003</v>
      </c>
      <c r="BG15" s="12">
        <v>356.97587900000002</v>
      </c>
      <c r="BH15" s="12">
        <v>364.61797899999999</v>
      </c>
      <c r="BI15" s="12">
        <v>421.81867399999999</v>
      </c>
      <c r="BJ15" s="12">
        <v>407.77453000000003</v>
      </c>
      <c r="BK15" s="12">
        <v>405.66475700000001</v>
      </c>
      <c r="BL15" s="12">
        <v>447.06602199999998</v>
      </c>
      <c r="BM15" s="12">
        <v>472.32309800000002</v>
      </c>
      <c r="BN15" s="12">
        <v>444.97615300000001</v>
      </c>
      <c r="BO15" s="12">
        <v>462.320536</v>
      </c>
      <c r="BP15" s="12">
        <v>445.36377700000003</v>
      </c>
      <c r="BQ15" s="12">
        <v>420.16583100000003</v>
      </c>
      <c r="BR15" s="12">
        <v>436.37668300000001</v>
      </c>
      <c r="BS15" s="12">
        <v>370.58511199999998</v>
      </c>
      <c r="BT15" s="12">
        <v>508.06895500000002</v>
      </c>
      <c r="BU15" s="12">
        <v>463.365836</v>
      </c>
      <c r="BV15" s="12">
        <v>470.75682999999998</v>
      </c>
      <c r="BW15" s="13">
        <v>462.92779999999999</v>
      </c>
      <c r="BX15" s="14">
        <f t="shared" si="0"/>
        <v>414.53766983561638</v>
      </c>
      <c r="CM15" s="15">
        <v>594.47774900000002</v>
      </c>
    </row>
    <row r="16" spans="1:91" ht="17" thickBot="1" x14ac:dyDescent="0.25">
      <c r="A16" s="17" t="s">
        <v>95</v>
      </c>
      <c r="B16" s="18" t="s">
        <v>95</v>
      </c>
      <c r="C16" s="12">
        <v>1.5129570000000001</v>
      </c>
      <c r="D16" s="12">
        <v>0.70588799999999996</v>
      </c>
      <c r="E16" s="12">
        <v>0.806751</v>
      </c>
      <c r="F16" s="12">
        <v>1.13984</v>
      </c>
      <c r="G16" s="12">
        <v>6.6009279999999997</v>
      </c>
      <c r="H16" s="12">
        <v>3.9780899999999999</v>
      </c>
      <c r="I16" s="12">
        <v>1.0415620000000001</v>
      </c>
      <c r="J16" s="12">
        <v>0.67651399999999995</v>
      </c>
      <c r="K16" s="12">
        <v>0.66400999999999999</v>
      </c>
      <c r="L16" s="12">
        <v>0.63254600000000005</v>
      </c>
      <c r="M16" s="12">
        <v>1.264918</v>
      </c>
      <c r="N16" s="12">
        <v>1.6220300000000001</v>
      </c>
      <c r="O16" s="12">
        <v>8.1049830000000007</v>
      </c>
      <c r="P16" s="12">
        <v>7.1095610000000002</v>
      </c>
      <c r="Q16" s="12">
        <v>7.5129080000000004</v>
      </c>
      <c r="R16" s="12">
        <v>5.6834930000000004</v>
      </c>
      <c r="S16" s="12">
        <v>6.2738529999999999</v>
      </c>
      <c r="T16" s="12">
        <v>4.7731919999999999</v>
      </c>
      <c r="U16" s="12">
        <v>5.3267860000000002</v>
      </c>
      <c r="V16" s="12">
        <v>5.7542650000000002</v>
      </c>
      <c r="W16" s="12">
        <v>1.1776439999999999</v>
      </c>
      <c r="X16" s="12">
        <v>0.94188799999999995</v>
      </c>
      <c r="Y16" s="12">
        <v>1.2551399999999999</v>
      </c>
      <c r="Z16" s="12">
        <v>5.6999079999999998</v>
      </c>
      <c r="AA16" s="12">
        <v>6.7262639999999996</v>
      </c>
      <c r="AB16" s="12">
        <v>6.3342169999999998</v>
      </c>
      <c r="AC16" s="12">
        <v>1.1146020000000001</v>
      </c>
      <c r="AD16" s="12">
        <v>1.2883979999999999</v>
      </c>
      <c r="AE16" s="12">
        <v>1.481868</v>
      </c>
      <c r="AF16" s="12">
        <v>3.9864030000000001</v>
      </c>
      <c r="AG16" s="12">
        <v>4.5647919999999997</v>
      </c>
      <c r="AH16" s="12">
        <v>5.7158350000000002</v>
      </c>
      <c r="AI16" s="12">
        <v>10.097687000000001</v>
      </c>
      <c r="AJ16" s="12">
        <v>7.0051680000000003</v>
      </c>
      <c r="AK16" s="12">
        <v>1.035382</v>
      </c>
      <c r="AL16" s="12">
        <v>1.196456</v>
      </c>
      <c r="AM16" s="12">
        <v>7.1494629999999999</v>
      </c>
      <c r="AN16" s="12">
        <v>7.0097880000000004</v>
      </c>
      <c r="AO16" s="12">
        <v>10.423377</v>
      </c>
      <c r="AP16" s="12">
        <v>6.2023929999999998</v>
      </c>
      <c r="AQ16" s="12">
        <v>7.5066009999999999</v>
      </c>
      <c r="AR16" s="12">
        <v>7.5571599999999997</v>
      </c>
      <c r="AS16" s="12">
        <v>4.0278859999999996</v>
      </c>
      <c r="AT16" s="12">
        <v>4.2038599999999997</v>
      </c>
      <c r="AU16" s="12">
        <v>5.0012239999999997</v>
      </c>
      <c r="AV16" s="12">
        <v>8.1450639999999996</v>
      </c>
      <c r="AW16" s="12">
        <v>4.7063480000000002</v>
      </c>
      <c r="AX16" s="12">
        <v>6.3871890000000002</v>
      </c>
      <c r="AY16" s="12">
        <v>13.706773</v>
      </c>
      <c r="AZ16" s="12">
        <v>14.003458</v>
      </c>
      <c r="BA16" s="12">
        <v>11.882661000000001</v>
      </c>
      <c r="BB16" s="12">
        <v>6.5201099999999999</v>
      </c>
      <c r="BC16" s="12">
        <v>4.7509350000000001</v>
      </c>
      <c r="BD16" s="12">
        <v>5.7349230000000002</v>
      </c>
      <c r="BE16" s="12">
        <v>5.2039809999999997</v>
      </c>
      <c r="BF16" s="12">
        <v>5.9961919999999997</v>
      </c>
      <c r="BG16" s="12">
        <v>5.7149660000000004</v>
      </c>
      <c r="BH16" s="12">
        <v>5.2560019999999996</v>
      </c>
      <c r="BI16" s="12">
        <v>5.6778320000000004</v>
      </c>
      <c r="BJ16" s="12">
        <v>4.8567939999999998</v>
      </c>
      <c r="BK16" s="12">
        <v>7.511253</v>
      </c>
      <c r="BL16" s="12">
        <v>7.343763</v>
      </c>
      <c r="BM16" s="12">
        <v>6.3409440000000004</v>
      </c>
      <c r="BN16" s="12">
        <v>5.5153309999999998</v>
      </c>
      <c r="BO16" s="12">
        <v>6.4433959999999999</v>
      </c>
      <c r="BP16" s="12">
        <v>5.929735</v>
      </c>
      <c r="BQ16" s="12">
        <v>4.7118469999999997</v>
      </c>
      <c r="BR16" s="12">
        <v>5.2356020000000001</v>
      </c>
      <c r="BS16" s="12">
        <v>5.8686350000000003</v>
      </c>
      <c r="BT16" s="12">
        <v>6.2745259999999998</v>
      </c>
      <c r="BU16" s="12">
        <v>5.8936250000000001</v>
      </c>
      <c r="BV16" s="12">
        <v>5.7630710000000001</v>
      </c>
      <c r="BW16" s="13">
        <v>0.84105099999999999</v>
      </c>
      <c r="BX16" s="14">
        <f t="shared" si="0"/>
        <v>5.0973217260273964</v>
      </c>
      <c r="CM16" s="15">
        <v>4.2973590000000002</v>
      </c>
    </row>
    <row r="17" spans="1:91" ht="20" thickBot="1" x14ac:dyDescent="0.3">
      <c r="A17" s="19" t="s">
        <v>96</v>
      </c>
      <c r="B17" s="3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1"/>
    </row>
    <row r="18" spans="1:91" x14ac:dyDescent="0.2">
      <c r="A18" s="6" t="s">
        <v>97</v>
      </c>
      <c r="B18" s="7"/>
      <c r="C18" s="8" t="s">
        <v>2</v>
      </c>
      <c r="D18" s="8" t="s">
        <v>3</v>
      </c>
      <c r="E18" s="8" t="s">
        <v>4</v>
      </c>
      <c r="F18" s="8" t="s">
        <v>5</v>
      </c>
      <c r="G18" s="8" t="s">
        <v>6</v>
      </c>
      <c r="H18" s="8" t="s">
        <v>7</v>
      </c>
      <c r="I18" s="8" t="s">
        <v>8</v>
      </c>
      <c r="J18" s="8" t="s">
        <v>9</v>
      </c>
      <c r="K18" s="8" t="s">
        <v>10</v>
      </c>
      <c r="L18" s="8" t="s">
        <v>11</v>
      </c>
      <c r="M18" s="8" t="s">
        <v>12</v>
      </c>
      <c r="N18" s="8" t="s">
        <v>13</v>
      </c>
      <c r="O18" s="8" t="s">
        <v>14</v>
      </c>
      <c r="P18" s="8" t="s">
        <v>15</v>
      </c>
      <c r="Q18" s="8" t="s">
        <v>16</v>
      </c>
      <c r="R18" s="8" t="s">
        <v>17</v>
      </c>
      <c r="S18" s="8" t="s">
        <v>18</v>
      </c>
      <c r="T18" s="8" t="s">
        <v>19</v>
      </c>
      <c r="U18" s="8" t="s">
        <v>20</v>
      </c>
      <c r="V18" s="8" t="s">
        <v>21</v>
      </c>
      <c r="W18" s="8" t="s">
        <v>22</v>
      </c>
      <c r="X18" s="8" t="s">
        <v>23</v>
      </c>
      <c r="Y18" s="8" t="s">
        <v>24</v>
      </c>
      <c r="Z18" s="8" t="s">
        <v>25</v>
      </c>
      <c r="AA18" s="8" t="s">
        <v>26</v>
      </c>
      <c r="AB18" s="8" t="s">
        <v>27</v>
      </c>
      <c r="AC18" s="8" t="s">
        <v>28</v>
      </c>
      <c r="AD18" s="8" t="s">
        <v>29</v>
      </c>
      <c r="AE18" s="8" t="s">
        <v>30</v>
      </c>
      <c r="AF18" s="8" t="s">
        <v>31</v>
      </c>
      <c r="AG18" s="8" t="s">
        <v>32</v>
      </c>
      <c r="AH18" s="8" t="s">
        <v>33</v>
      </c>
      <c r="AI18" s="8" t="s">
        <v>34</v>
      </c>
      <c r="AJ18" s="8" t="s">
        <v>35</v>
      </c>
      <c r="AK18" s="8" t="s">
        <v>36</v>
      </c>
      <c r="AL18" s="8" t="s">
        <v>37</v>
      </c>
      <c r="AM18" s="8" t="s">
        <v>38</v>
      </c>
      <c r="AN18" s="8" t="s">
        <v>39</v>
      </c>
      <c r="AO18" s="8" t="s">
        <v>40</v>
      </c>
      <c r="AP18" s="8" t="s">
        <v>41</v>
      </c>
      <c r="AQ18" s="8" t="s">
        <v>42</v>
      </c>
      <c r="AR18" s="8" t="s">
        <v>43</v>
      </c>
      <c r="AS18" s="8" t="s">
        <v>44</v>
      </c>
      <c r="AT18" s="8" t="s">
        <v>45</v>
      </c>
      <c r="AU18" s="8" t="s">
        <v>46</v>
      </c>
      <c r="AV18" s="8" t="s">
        <v>47</v>
      </c>
      <c r="AW18" s="8" t="s">
        <v>48</v>
      </c>
      <c r="AX18" s="8" t="s">
        <v>49</v>
      </c>
      <c r="AY18" s="8" t="s">
        <v>50</v>
      </c>
      <c r="AZ18" s="8" t="s">
        <v>51</v>
      </c>
      <c r="BA18" s="8" t="s">
        <v>52</v>
      </c>
      <c r="BB18" s="8" t="s">
        <v>53</v>
      </c>
      <c r="BC18" s="8" t="s">
        <v>54</v>
      </c>
      <c r="BD18" s="8" t="s">
        <v>55</v>
      </c>
      <c r="BE18" s="8" t="s">
        <v>56</v>
      </c>
      <c r="BF18" s="8" t="s">
        <v>57</v>
      </c>
      <c r="BG18" s="8" t="s">
        <v>58</v>
      </c>
      <c r="BH18" s="8" t="s">
        <v>59</v>
      </c>
      <c r="BI18" s="8" t="s">
        <v>60</v>
      </c>
      <c r="BJ18" s="8" t="s">
        <v>61</v>
      </c>
      <c r="BK18" s="8" t="s">
        <v>62</v>
      </c>
      <c r="BL18" s="8" t="s">
        <v>63</v>
      </c>
      <c r="BM18" s="8" t="s">
        <v>64</v>
      </c>
      <c r="BN18" s="8" t="s">
        <v>65</v>
      </c>
      <c r="BO18" s="8" t="s">
        <v>66</v>
      </c>
      <c r="BP18" s="8" t="s">
        <v>67</v>
      </c>
      <c r="BQ18" s="8" t="s">
        <v>68</v>
      </c>
      <c r="BR18" s="8" t="s">
        <v>69</v>
      </c>
      <c r="BS18" s="8" t="s">
        <v>70</v>
      </c>
      <c r="BT18" s="8" t="s">
        <v>71</v>
      </c>
      <c r="BU18" s="8" t="s">
        <v>72</v>
      </c>
      <c r="BV18" s="8" t="s">
        <v>73</v>
      </c>
      <c r="BW18" s="9" t="s">
        <v>74</v>
      </c>
      <c r="BX18" s="8" t="s">
        <v>75</v>
      </c>
      <c r="CM18" s="10" t="s">
        <v>76</v>
      </c>
    </row>
    <row r="19" spans="1:91" x14ac:dyDescent="0.2">
      <c r="A19" s="11" t="s">
        <v>77</v>
      </c>
      <c r="B19" s="9" t="s">
        <v>77</v>
      </c>
      <c r="C19" s="12">
        <v>1217.9865339999999</v>
      </c>
      <c r="D19" s="12">
        <v>558.92443600000001</v>
      </c>
      <c r="E19" s="12">
        <v>646.73777399999994</v>
      </c>
      <c r="F19" s="12">
        <v>613.42883200000006</v>
      </c>
      <c r="G19" s="12">
        <v>759.65653599999996</v>
      </c>
      <c r="H19" s="12">
        <v>650.41833399999996</v>
      </c>
      <c r="I19" s="12">
        <v>654.45881599999996</v>
      </c>
      <c r="J19" s="12">
        <v>1076.0780259999999</v>
      </c>
      <c r="K19" s="12">
        <v>973.32265800000005</v>
      </c>
      <c r="L19" s="12">
        <v>1009.961106</v>
      </c>
      <c r="M19" s="12">
        <v>944.71560199999999</v>
      </c>
      <c r="N19" s="12">
        <v>1285.7937999999999</v>
      </c>
      <c r="O19" s="12">
        <v>947.54181200000005</v>
      </c>
      <c r="P19" s="12">
        <v>862.70761600000003</v>
      </c>
      <c r="Q19" s="12">
        <v>902.18755199999998</v>
      </c>
      <c r="R19" s="12">
        <v>733.57956000000001</v>
      </c>
      <c r="S19" s="12">
        <v>771.85918400000003</v>
      </c>
      <c r="T19" s="12">
        <v>649.62529600000005</v>
      </c>
      <c r="U19" s="12">
        <v>716.136618</v>
      </c>
      <c r="V19" s="12">
        <v>711.03935000000001</v>
      </c>
      <c r="W19" s="12">
        <v>753.83355400000005</v>
      </c>
      <c r="X19" s="12">
        <v>749.355054</v>
      </c>
      <c r="Y19" s="12">
        <v>1021.696988</v>
      </c>
      <c r="Z19" s="12">
        <v>814.72120600000005</v>
      </c>
      <c r="AA19" s="12">
        <v>884.045028</v>
      </c>
      <c r="AB19" s="12">
        <v>862.64907800000003</v>
      </c>
      <c r="AC19" s="12">
        <v>688.31197399999996</v>
      </c>
      <c r="AD19" s="12">
        <v>877.22693000000004</v>
      </c>
      <c r="AE19" s="12">
        <v>1156.6812600000001</v>
      </c>
      <c r="AF19" s="12">
        <v>651.72697600000004</v>
      </c>
      <c r="AG19" s="12">
        <v>753.488698</v>
      </c>
      <c r="AH19" s="12">
        <v>812.11711200000002</v>
      </c>
      <c r="AI19" s="12">
        <v>912.24188200000003</v>
      </c>
      <c r="AJ19" s="12">
        <v>814.75942599999996</v>
      </c>
      <c r="AK19" s="12">
        <v>786.13727600000004</v>
      </c>
      <c r="AL19" s="12">
        <v>1009.56783</v>
      </c>
      <c r="AM19" s="12">
        <v>806.92669999999998</v>
      </c>
      <c r="AN19" s="12">
        <v>739.90076399999998</v>
      </c>
      <c r="AO19" s="12">
        <v>1158.4890379999999</v>
      </c>
      <c r="AP19" s="12">
        <v>726.48011199999996</v>
      </c>
      <c r="AQ19" s="12">
        <v>919.32479799999999</v>
      </c>
      <c r="AR19" s="12">
        <v>923.95363199999997</v>
      </c>
      <c r="AS19" s="12">
        <v>713.216542</v>
      </c>
      <c r="AT19" s="12">
        <v>765.60300400000006</v>
      </c>
      <c r="AU19" s="12">
        <v>853.54279799999995</v>
      </c>
      <c r="AV19" s="12">
        <v>931.47961599999996</v>
      </c>
      <c r="AW19" s="12">
        <v>803.71613200000002</v>
      </c>
      <c r="AX19" s="12">
        <v>862.74876200000006</v>
      </c>
      <c r="AY19" s="12">
        <v>936.23931800000003</v>
      </c>
      <c r="AZ19" s="12">
        <v>830.00469399999997</v>
      </c>
      <c r="BA19" s="12">
        <v>926.39567</v>
      </c>
      <c r="BB19" s="12">
        <v>826.28864799999997</v>
      </c>
      <c r="BC19" s="12">
        <v>677.80206799999996</v>
      </c>
      <c r="BD19" s="12">
        <v>744.06365800000003</v>
      </c>
      <c r="BE19" s="12">
        <v>709.515804</v>
      </c>
      <c r="BF19" s="12">
        <v>766.74467600000003</v>
      </c>
      <c r="BG19" s="12">
        <v>728.47086000000002</v>
      </c>
      <c r="BH19" s="12">
        <v>742.89433799999995</v>
      </c>
      <c r="BI19" s="12">
        <v>858.69192599999997</v>
      </c>
      <c r="BJ19" s="12">
        <v>828.75701600000002</v>
      </c>
      <c r="BK19" s="12">
        <v>830.44496600000002</v>
      </c>
      <c r="BL19" s="12">
        <v>912.81113600000003</v>
      </c>
      <c r="BM19" s="12">
        <v>960.55093399999998</v>
      </c>
      <c r="BN19" s="12">
        <v>904.28183200000001</v>
      </c>
      <c r="BO19" s="12">
        <v>941.63709600000004</v>
      </c>
      <c r="BP19" s="12">
        <v>905.96083399999998</v>
      </c>
      <c r="BQ19" s="12">
        <v>852.93957</v>
      </c>
      <c r="BR19" s="12">
        <v>886.41150400000004</v>
      </c>
      <c r="BS19" s="12">
        <v>755.32172600000001</v>
      </c>
      <c r="BT19" s="12">
        <v>1032.6273659999999</v>
      </c>
      <c r="BU19" s="12">
        <v>942.13373200000001</v>
      </c>
      <c r="BV19" s="12">
        <v>956.24904400000003</v>
      </c>
      <c r="BW19" s="13">
        <v>933.02101200000004</v>
      </c>
      <c r="BX19" s="14">
        <f t="shared" ref="BX19:BX32" si="1">AVERAGE(C19:BW19)</f>
        <v>846.99124712328774</v>
      </c>
      <c r="CM19" s="15">
        <v>655.95169599999997</v>
      </c>
    </row>
    <row r="20" spans="1:91" x14ac:dyDescent="0.2">
      <c r="A20" s="11" t="s">
        <v>78</v>
      </c>
      <c r="B20" s="9" t="s">
        <v>79</v>
      </c>
      <c r="C20" s="12">
        <v>1216.8395419999999</v>
      </c>
      <c r="D20" s="12">
        <v>558.88257599999997</v>
      </c>
      <c r="E20" s="12">
        <v>646.68063199999995</v>
      </c>
      <c r="F20" s="12">
        <v>612.64257799999996</v>
      </c>
      <c r="G20" s="12">
        <v>758.13644399999998</v>
      </c>
      <c r="H20" s="12">
        <v>649.66076199999998</v>
      </c>
      <c r="I20" s="12">
        <v>654.41380000000004</v>
      </c>
      <c r="J20" s="12">
        <v>1075.525672</v>
      </c>
      <c r="K20" s="12">
        <v>972.14157999999998</v>
      </c>
      <c r="L20" s="12">
        <v>1008.063628</v>
      </c>
      <c r="M20" s="12">
        <v>943.61858400000006</v>
      </c>
      <c r="N20" s="12">
        <v>1284.2883939999999</v>
      </c>
      <c r="O20" s="12">
        <v>946.18081199999995</v>
      </c>
      <c r="P20" s="12">
        <v>860.74302999999998</v>
      </c>
      <c r="Q20" s="12">
        <v>900.73209399999996</v>
      </c>
      <c r="R20" s="12">
        <v>732.30125199999998</v>
      </c>
      <c r="S20" s="12">
        <v>770.44741799999997</v>
      </c>
      <c r="T20" s="12">
        <v>648.55140800000004</v>
      </c>
      <c r="U20" s="12">
        <v>714.76213199999995</v>
      </c>
      <c r="V20" s="12">
        <v>709.99117000000001</v>
      </c>
      <c r="W20" s="12">
        <v>752.95524999999998</v>
      </c>
      <c r="X20" s="12">
        <v>748.48395800000003</v>
      </c>
      <c r="Y20" s="12">
        <v>1020.511514</v>
      </c>
      <c r="Z20" s="12">
        <v>812.43709200000001</v>
      </c>
      <c r="AA20" s="12">
        <v>881.46864000000005</v>
      </c>
      <c r="AB20" s="12">
        <v>859.907014</v>
      </c>
      <c r="AC20" s="12">
        <v>687.62891000000002</v>
      </c>
      <c r="AD20" s="12">
        <v>876.36697800000002</v>
      </c>
      <c r="AE20" s="12">
        <v>1155.52306</v>
      </c>
      <c r="AF20" s="12">
        <v>649.75422600000002</v>
      </c>
      <c r="AG20" s="12">
        <v>751.22455000000002</v>
      </c>
      <c r="AH20" s="12">
        <v>810.79778999999996</v>
      </c>
      <c r="AI20" s="12">
        <v>828.55582600000002</v>
      </c>
      <c r="AJ20" s="12">
        <v>778.45932000000005</v>
      </c>
      <c r="AK20" s="12">
        <v>785.13958000000002</v>
      </c>
      <c r="AL20" s="12">
        <v>1008.690456</v>
      </c>
      <c r="AM20" s="12">
        <v>804.75636799999995</v>
      </c>
      <c r="AN20" s="12">
        <v>738.52498400000002</v>
      </c>
      <c r="AO20" s="12">
        <v>1156.05267</v>
      </c>
      <c r="AP20" s="12">
        <v>724.87580800000001</v>
      </c>
      <c r="AQ20" s="12">
        <v>917.35476600000004</v>
      </c>
      <c r="AR20" s="12">
        <v>921.84704599999998</v>
      </c>
      <c r="AS20" s="12">
        <v>712.00858400000004</v>
      </c>
      <c r="AT20" s="12">
        <v>764.15141400000005</v>
      </c>
      <c r="AU20" s="12">
        <v>852.29322200000001</v>
      </c>
      <c r="AV20" s="12">
        <v>929.66248800000005</v>
      </c>
      <c r="AW20" s="12">
        <v>802.85241799999994</v>
      </c>
      <c r="AX20" s="12">
        <v>861.31322599999999</v>
      </c>
      <c r="AY20" s="12">
        <v>934.86667999999997</v>
      </c>
      <c r="AZ20" s="12">
        <v>828.69386199999997</v>
      </c>
      <c r="BA20" s="12">
        <v>924.06634799999995</v>
      </c>
      <c r="BB20" s="12">
        <v>682.45263599999998</v>
      </c>
      <c r="BC20" s="12">
        <v>676.70832600000006</v>
      </c>
      <c r="BD20" s="12">
        <v>742.62410799999998</v>
      </c>
      <c r="BE20" s="12">
        <v>708.234554</v>
      </c>
      <c r="BF20" s="12">
        <v>765.35410200000001</v>
      </c>
      <c r="BG20" s="12">
        <v>727.25049200000001</v>
      </c>
      <c r="BH20" s="12">
        <v>741.58021199999996</v>
      </c>
      <c r="BI20" s="12">
        <v>857.31790000000001</v>
      </c>
      <c r="BJ20" s="12">
        <v>827.43801199999996</v>
      </c>
      <c r="BK20" s="12">
        <v>828.642472</v>
      </c>
      <c r="BL20" s="12">
        <v>911.13457200000005</v>
      </c>
      <c r="BM20" s="12">
        <v>959.14885200000003</v>
      </c>
      <c r="BN20" s="12">
        <v>902.79889400000002</v>
      </c>
      <c r="BO20" s="12">
        <v>939.76782800000001</v>
      </c>
      <c r="BP20" s="12">
        <v>904.40387799999996</v>
      </c>
      <c r="BQ20" s="12">
        <v>851.58587799999998</v>
      </c>
      <c r="BR20" s="12">
        <v>885.04679799999997</v>
      </c>
      <c r="BS20" s="12">
        <v>754.45644200000004</v>
      </c>
      <c r="BT20" s="12">
        <v>1031.136726</v>
      </c>
      <c r="BU20" s="12">
        <v>940.77888199999995</v>
      </c>
      <c r="BV20" s="12">
        <v>955.10296200000005</v>
      </c>
      <c r="BW20" s="13">
        <v>932.25109599999996</v>
      </c>
      <c r="BX20" s="14">
        <f t="shared" si="1"/>
        <v>842.0690846301369</v>
      </c>
      <c r="CM20" s="15">
        <v>654.97588199999996</v>
      </c>
    </row>
    <row r="21" spans="1:91" x14ac:dyDescent="0.2">
      <c r="A21" s="11" t="s">
        <v>80</v>
      </c>
      <c r="B21" s="9" t="s">
        <v>81</v>
      </c>
      <c r="C21" s="12">
        <v>1204.7816680000001</v>
      </c>
      <c r="D21" s="12">
        <v>550.49630400000001</v>
      </c>
      <c r="E21" s="12">
        <v>636.98437000000001</v>
      </c>
      <c r="F21" s="12">
        <v>602.09416599999997</v>
      </c>
      <c r="G21" s="12">
        <v>749.70755599999995</v>
      </c>
      <c r="H21" s="12">
        <v>643.594156</v>
      </c>
      <c r="I21" s="12">
        <v>644.19438200000002</v>
      </c>
      <c r="J21" s="12">
        <v>1063.637972</v>
      </c>
      <c r="K21" s="12">
        <v>959.82207200000005</v>
      </c>
      <c r="L21" s="12">
        <v>995.76526799999999</v>
      </c>
      <c r="M21" s="12">
        <v>932.63292000000001</v>
      </c>
      <c r="N21" s="12">
        <v>1271.1625739999999</v>
      </c>
      <c r="O21" s="12">
        <v>936.18930799999998</v>
      </c>
      <c r="P21" s="12">
        <v>852.04683599999998</v>
      </c>
      <c r="Q21" s="12">
        <v>889.50918000000001</v>
      </c>
      <c r="R21" s="12">
        <v>723.18177000000003</v>
      </c>
      <c r="S21" s="12">
        <v>760.63568199999997</v>
      </c>
      <c r="T21" s="12">
        <v>640.60759599999994</v>
      </c>
      <c r="U21" s="12">
        <v>706.64835200000005</v>
      </c>
      <c r="V21" s="12">
        <v>702.33524</v>
      </c>
      <c r="W21" s="12">
        <v>743.85806000000002</v>
      </c>
      <c r="X21" s="12">
        <v>741.15909799999997</v>
      </c>
      <c r="Y21" s="12">
        <v>1008.411256</v>
      </c>
      <c r="Z21" s="12">
        <v>803.96094200000005</v>
      </c>
      <c r="AA21" s="12">
        <v>871.23142600000006</v>
      </c>
      <c r="AB21" s="12">
        <v>851.10717799999998</v>
      </c>
      <c r="AC21" s="12">
        <v>676.82819800000004</v>
      </c>
      <c r="AD21" s="12">
        <v>863.49369000000002</v>
      </c>
      <c r="AE21" s="12">
        <v>1142.0440639999999</v>
      </c>
      <c r="AF21" s="12">
        <v>641.792824</v>
      </c>
      <c r="AG21" s="12">
        <v>740.97303999999997</v>
      </c>
      <c r="AH21" s="12">
        <v>801.63354400000003</v>
      </c>
      <c r="AI21" s="12">
        <v>819.016884</v>
      </c>
      <c r="AJ21" s="12">
        <v>771.00354000000004</v>
      </c>
      <c r="AK21" s="12">
        <v>776.89277200000004</v>
      </c>
      <c r="AL21" s="12">
        <v>998.28632400000004</v>
      </c>
      <c r="AM21" s="12">
        <v>795.24580600000002</v>
      </c>
      <c r="AN21" s="12">
        <v>729.18078600000001</v>
      </c>
      <c r="AO21" s="12">
        <v>1143.2665360000001</v>
      </c>
      <c r="AP21" s="12">
        <v>716.43273999999997</v>
      </c>
      <c r="AQ21" s="12">
        <v>906.04225799999995</v>
      </c>
      <c r="AR21" s="12">
        <v>911.69230200000004</v>
      </c>
      <c r="AS21" s="12">
        <v>704.15275599999995</v>
      </c>
      <c r="AT21" s="12">
        <v>754.85456599999998</v>
      </c>
      <c r="AU21" s="12">
        <v>843.20075399999996</v>
      </c>
      <c r="AV21" s="12">
        <v>920.32553399999995</v>
      </c>
      <c r="AW21" s="12">
        <v>796.58724800000005</v>
      </c>
      <c r="AX21" s="12">
        <v>852.66699800000004</v>
      </c>
      <c r="AY21" s="12">
        <v>925.61161000000004</v>
      </c>
      <c r="AZ21" s="12">
        <v>820.86975399999994</v>
      </c>
      <c r="BA21" s="12">
        <v>915.96033</v>
      </c>
      <c r="BB21" s="12">
        <v>674.74656600000003</v>
      </c>
      <c r="BC21" s="12">
        <v>668.40439800000001</v>
      </c>
      <c r="BD21" s="12">
        <v>734.51872200000003</v>
      </c>
      <c r="BE21" s="12">
        <v>700.27426600000001</v>
      </c>
      <c r="BF21" s="12">
        <v>757.07823399999995</v>
      </c>
      <c r="BG21" s="12">
        <v>718.83328400000005</v>
      </c>
      <c r="BH21" s="12">
        <v>733.34204399999999</v>
      </c>
      <c r="BI21" s="12">
        <v>846.70949399999995</v>
      </c>
      <c r="BJ21" s="12">
        <v>817.909492</v>
      </c>
      <c r="BK21" s="12">
        <v>820.30504800000006</v>
      </c>
      <c r="BL21" s="12">
        <v>900.58076000000005</v>
      </c>
      <c r="BM21" s="12">
        <v>949.00836600000002</v>
      </c>
      <c r="BN21" s="12">
        <v>892.97305800000004</v>
      </c>
      <c r="BO21" s="12">
        <v>928.91699000000006</v>
      </c>
      <c r="BP21" s="12">
        <v>895.38761999999997</v>
      </c>
      <c r="BQ21" s="12">
        <v>841.69843400000002</v>
      </c>
      <c r="BR21" s="12">
        <v>876.14299000000005</v>
      </c>
      <c r="BS21" s="12">
        <v>747.688402</v>
      </c>
      <c r="BT21" s="12">
        <v>1018.112764</v>
      </c>
      <c r="BU21" s="12">
        <v>929.38822400000004</v>
      </c>
      <c r="BV21" s="12">
        <v>944.35021400000005</v>
      </c>
      <c r="BW21" s="13">
        <v>920.61859000000004</v>
      </c>
      <c r="BX21" s="14">
        <f t="shared" si="1"/>
        <v>832.4766869863015</v>
      </c>
      <c r="CM21" s="15">
        <v>648.12342599999999</v>
      </c>
    </row>
    <row r="22" spans="1:91" x14ac:dyDescent="0.2">
      <c r="A22" s="11" t="s">
        <v>82</v>
      </c>
      <c r="B22" s="9"/>
      <c r="C22">
        <v>1033.329113</v>
      </c>
      <c r="D22">
        <v>786.35016900000005</v>
      </c>
      <c r="E22">
        <v>819.97987799999999</v>
      </c>
      <c r="F22">
        <v>941.26104599999996</v>
      </c>
      <c r="G22">
        <v>878.57905100000005</v>
      </c>
      <c r="H22">
        <v>681.53424500000006</v>
      </c>
      <c r="I22">
        <v>988.06405600000005</v>
      </c>
      <c r="J22">
        <v>767.94833600000004</v>
      </c>
      <c r="K22">
        <v>707.995811</v>
      </c>
      <c r="L22">
        <v>898.458617</v>
      </c>
      <c r="M22">
        <v>894.14486199999999</v>
      </c>
      <c r="N22">
        <v>1136.1567769999999</v>
      </c>
      <c r="O22">
        <v>1088.0405900000001</v>
      </c>
      <c r="P22">
        <v>1048.493354</v>
      </c>
      <c r="Q22">
        <v>1059.828186</v>
      </c>
      <c r="R22">
        <v>785.33607900000004</v>
      </c>
      <c r="S22">
        <v>850.68631200000004</v>
      </c>
      <c r="T22">
        <v>875.34310600000003</v>
      </c>
      <c r="U22">
        <v>929.97605999999996</v>
      </c>
      <c r="V22">
        <v>874.92131500000005</v>
      </c>
      <c r="W22">
        <v>634.93955700000004</v>
      </c>
      <c r="X22">
        <v>646.59843899999998</v>
      </c>
      <c r="Y22">
        <v>962.95908999999995</v>
      </c>
      <c r="Z22">
        <v>762.42784900000004</v>
      </c>
      <c r="AA22">
        <v>839.82476499999996</v>
      </c>
      <c r="AB22">
        <v>824.09307999999999</v>
      </c>
      <c r="AC22">
        <v>578.30989599999998</v>
      </c>
      <c r="AD22">
        <v>754.75570400000004</v>
      </c>
      <c r="AE22">
        <v>1060.523729</v>
      </c>
      <c r="AF22">
        <v>785.81835100000001</v>
      </c>
      <c r="AG22">
        <v>882.709248</v>
      </c>
      <c r="AH22">
        <v>849.94663600000001</v>
      </c>
      <c r="AI22">
        <v>814.66580399999998</v>
      </c>
      <c r="AJ22">
        <v>760.83792300000005</v>
      </c>
      <c r="AK22">
        <v>711.72440900000004</v>
      </c>
      <c r="AL22">
        <v>837.74087899999995</v>
      </c>
      <c r="AM22">
        <v>925.84463500000004</v>
      </c>
      <c r="AN22">
        <v>832.18162800000005</v>
      </c>
      <c r="AO22">
        <v>1293.7482110000001</v>
      </c>
      <c r="AP22">
        <v>849.32640600000002</v>
      </c>
      <c r="AQ22">
        <v>1030.483207</v>
      </c>
      <c r="AR22">
        <v>1057.928956</v>
      </c>
      <c r="AS22">
        <v>794.42819099999997</v>
      </c>
      <c r="AT22">
        <v>864.83508900000004</v>
      </c>
      <c r="AU22">
        <v>951.73512500000004</v>
      </c>
      <c r="AV22">
        <v>979.79955099999995</v>
      </c>
      <c r="AW22">
        <v>784.10381099999995</v>
      </c>
      <c r="AX22">
        <v>1066.3570460000001</v>
      </c>
      <c r="AY22">
        <v>896.21625500000005</v>
      </c>
      <c r="AZ22">
        <v>751.07494299999996</v>
      </c>
      <c r="BA22">
        <v>849.19888900000001</v>
      </c>
      <c r="BB22">
        <v>664.99383399999999</v>
      </c>
      <c r="BC22">
        <v>737.12047800000005</v>
      </c>
      <c r="BD22">
        <v>759.43896199999995</v>
      </c>
      <c r="BE22">
        <v>759.69303400000001</v>
      </c>
      <c r="BF22">
        <v>837.06668500000001</v>
      </c>
      <c r="BG22">
        <v>823.33937600000002</v>
      </c>
      <c r="BH22">
        <v>890.67174699999998</v>
      </c>
      <c r="BI22">
        <v>1105.1628820000001</v>
      </c>
      <c r="BJ22">
        <v>1062.866663</v>
      </c>
      <c r="BK22">
        <v>1034.8937089999999</v>
      </c>
      <c r="BL22">
        <v>1102.744827</v>
      </c>
      <c r="BM22">
        <v>1090.675655</v>
      </c>
      <c r="BN22">
        <v>1011.872307</v>
      </c>
      <c r="BO22">
        <v>1163.9765640000001</v>
      </c>
      <c r="BP22">
        <v>943.259815</v>
      </c>
      <c r="BQ22">
        <v>937.84097399999996</v>
      </c>
      <c r="BR22">
        <v>986.74159599999996</v>
      </c>
      <c r="BS22">
        <v>856.86207300000001</v>
      </c>
      <c r="BT22">
        <v>1028.3050740000001</v>
      </c>
      <c r="BU22">
        <v>922.01656500000001</v>
      </c>
      <c r="BV22">
        <v>936.94997000000001</v>
      </c>
      <c r="BW22">
        <v>775.87140899999997</v>
      </c>
      <c r="BX22" s="14">
        <f t="shared" si="1"/>
        <v>891.97162279452027</v>
      </c>
      <c r="CM22" s="16">
        <v>757.133735</v>
      </c>
    </row>
    <row r="23" spans="1:91" x14ac:dyDescent="0.2">
      <c r="A23" s="11" t="s">
        <v>83</v>
      </c>
      <c r="B23" s="9" t="s">
        <v>84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12">
        <v>0</v>
      </c>
      <c r="Z23" s="12">
        <v>0</v>
      </c>
      <c r="AA23" s="12">
        <v>0</v>
      </c>
      <c r="AB23" s="12">
        <v>0</v>
      </c>
      <c r="AC23" s="12">
        <v>0</v>
      </c>
      <c r="AD23" s="12">
        <v>0</v>
      </c>
      <c r="AE23" s="12">
        <v>0</v>
      </c>
      <c r="AF23" s="12">
        <v>0</v>
      </c>
      <c r="AG23" s="12">
        <v>0</v>
      </c>
      <c r="AH23" s="12">
        <v>0</v>
      </c>
      <c r="AI23" s="12">
        <v>0</v>
      </c>
      <c r="AJ23" s="12">
        <v>0</v>
      </c>
      <c r="AK23" s="12">
        <v>0</v>
      </c>
      <c r="AL23" s="12">
        <v>0</v>
      </c>
      <c r="AM23" s="12">
        <v>0</v>
      </c>
      <c r="AN23" s="12">
        <v>0</v>
      </c>
      <c r="AO23" s="12">
        <v>0</v>
      </c>
      <c r="AP23" s="12">
        <v>0</v>
      </c>
      <c r="AQ23" s="12">
        <v>0</v>
      </c>
      <c r="AR23" s="12">
        <v>0</v>
      </c>
      <c r="AS23" s="12">
        <v>0</v>
      </c>
      <c r="AT23" s="12">
        <v>0</v>
      </c>
      <c r="AU23" s="12">
        <v>0</v>
      </c>
      <c r="AV23" s="12">
        <v>0</v>
      </c>
      <c r="AW23" s="12">
        <v>0</v>
      </c>
      <c r="AX23" s="12">
        <v>0</v>
      </c>
      <c r="AY23" s="12">
        <v>0</v>
      </c>
      <c r="AZ23" s="12">
        <v>0</v>
      </c>
      <c r="BA23" s="12">
        <v>0</v>
      </c>
      <c r="BB23" s="12">
        <v>0</v>
      </c>
      <c r="BC23" s="12">
        <v>0</v>
      </c>
      <c r="BD23" s="12">
        <v>0</v>
      </c>
      <c r="BE23" s="12">
        <v>0</v>
      </c>
      <c r="BF23" s="12">
        <v>0</v>
      </c>
      <c r="BG23" s="12">
        <v>0</v>
      </c>
      <c r="BH23" s="12">
        <v>0</v>
      </c>
      <c r="BI23" s="12">
        <v>0</v>
      </c>
      <c r="BJ23" s="12">
        <v>0</v>
      </c>
      <c r="BK23" s="12">
        <v>0</v>
      </c>
      <c r="BL23" s="12">
        <v>0</v>
      </c>
      <c r="BM23" s="12">
        <v>0</v>
      </c>
      <c r="BN23" s="12">
        <v>0</v>
      </c>
      <c r="BO23" s="12">
        <v>0</v>
      </c>
      <c r="BP23" s="12">
        <v>0</v>
      </c>
      <c r="BQ23" s="12">
        <v>0</v>
      </c>
      <c r="BR23" s="12">
        <v>0</v>
      </c>
      <c r="BS23" s="12">
        <v>0</v>
      </c>
      <c r="BT23" s="12">
        <v>0</v>
      </c>
      <c r="BU23" s="12">
        <v>0</v>
      </c>
      <c r="BV23" s="12">
        <v>0</v>
      </c>
      <c r="BW23" s="13">
        <v>0</v>
      </c>
      <c r="BX23" s="14">
        <f t="shared" si="1"/>
        <v>0</v>
      </c>
      <c r="CM23" s="15">
        <v>0</v>
      </c>
    </row>
    <row r="24" spans="1:91" x14ac:dyDescent="0.2">
      <c r="A24" s="11" t="s">
        <v>85</v>
      </c>
      <c r="B24" s="9" t="s">
        <v>85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0</v>
      </c>
      <c r="AN24" s="12">
        <v>0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2">
        <v>0</v>
      </c>
      <c r="BB24" s="12">
        <v>0</v>
      </c>
      <c r="BC24" s="12">
        <v>0</v>
      </c>
      <c r="BD24" s="12">
        <v>0</v>
      </c>
      <c r="BE24" s="12">
        <v>0</v>
      </c>
      <c r="BF24" s="12">
        <v>0</v>
      </c>
      <c r="BG24" s="12">
        <v>0</v>
      </c>
      <c r="BH24" s="12">
        <v>0</v>
      </c>
      <c r="BI24" s="12">
        <v>0</v>
      </c>
      <c r="BJ24" s="12">
        <v>0</v>
      </c>
      <c r="BK24" s="12">
        <v>0</v>
      </c>
      <c r="BL24" s="12">
        <v>0</v>
      </c>
      <c r="BM24" s="12">
        <v>0</v>
      </c>
      <c r="BN24" s="12">
        <v>0</v>
      </c>
      <c r="BO24" s="12">
        <v>0</v>
      </c>
      <c r="BP24" s="12">
        <v>0</v>
      </c>
      <c r="BQ24" s="12">
        <v>0</v>
      </c>
      <c r="BR24" s="12">
        <v>0</v>
      </c>
      <c r="BS24" s="12">
        <v>0</v>
      </c>
      <c r="BT24" s="12">
        <v>0</v>
      </c>
      <c r="BU24" s="12">
        <v>0</v>
      </c>
      <c r="BV24" s="12">
        <v>0</v>
      </c>
      <c r="BW24" s="13">
        <v>0</v>
      </c>
      <c r="BX24" s="14">
        <f t="shared" si="1"/>
        <v>0</v>
      </c>
      <c r="CM24" s="15">
        <v>0</v>
      </c>
    </row>
    <row r="25" spans="1:91" x14ac:dyDescent="0.2">
      <c r="A25" s="11" t="s">
        <v>86</v>
      </c>
      <c r="B25" s="9" t="s">
        <v>87</v>
      </c>
      <c r="C25" s="12">
        <v>51.951656999999997</v>
      </c>
      <c r="D25" s="12">
        <v>23.753623000000001</v>
      </c>
      <c r="E25" s="12">
        <v>29.267441000000002</v>
      </c>
      <c r="F25" s="12">
        <v>28.669041</v>
      </c>
      <c r="G25" s="12">
        <v>33.486708</v>
      </c>
      <c r="H25" s="12">
        <v>27.348800000000001</v>
      </c>
      <c r="I25" s="12">
        <v>27.906773999999999</v>
      </c>
      <c r="J25" s="12">
        <v>44.780512000000002</v>
      </c>
      <c r="K25" s="12">
        <v>43.928662000000003</v>
      </c>
      <c r="L25" s="12">
        <v>42.060285999999998</v>
      </c>
      <c r="M25" s="12">
        <v>42.306536000000001</v>
      </c>
      <c r="N25" s="12">
        <v>53.176310999999998</v>
      </c>
      <c r="O25" s="12">
        <v>40.888171999999997</v>
      </c>
      <c r="P25" s="12">
        <v>35.810620999999998</v>
      </c>
      <c r="Q25" s="12">
        <v>43.460151000000003</v>
      </c>
      <c r="R25" s="12">
        <v>35.789273000000001</v>
      </c>
      <c r="S25" s="12">
        <v>37.042893999999997</v>
      </c>
      <c r="T25" s="12">
        <v>30.356344</v>
      </c>
      <c r="U25" s="12">
        <v>32.517274</v>
      </c>
      <c r="V25" s="12">
        <v>32.008727999999998</v>
      </c>
      <c r="W25" s="12">
        <v>36.808140000000002</v>
      </c>
      <c r="X25" s="12">
        <v>32.445207000000003</v>
      </c>
      <c r="Y25" s="12">
        <v>47.962215999999998</v>
      </c>
      <c r="Z25" s="12">
        <v>34.857467</v>
      </c>
      <c r="AA25" s="12">
        <v>39.910609000000001</v>
      </c>
      <c r="AB25" s="12">
        <v>39.030222000000002</v>
      </c>
      <c r="AC25" s="12">
        <v>29.678453000000001</v>
      </c>
      <c r="AD25" s="12">
        <v>39.254089999999998</v>
      </c>
      <c r="AE25" s="12">
        <v>52.414428000000001</v>
      </c>
      <c r="AF25" s="12">
        <v>29.185884000000001</v>
      </c>
      <c r="AG25" s="12">
        <v>37.018898999999998</v>
      </c>
      <c r="AH25" s="12">
        <v>37.276145</v>
      </c>
      <c r="AI25" s="12">
        <v>39.447279000000002</v>
      </c>
      <c r="AJ25" s="12">
        <v>33.867359</v>
      </c>
      <c r="AK25" s="12">
        <v>37.077962999999997</v>
      </c>
      <c r="AL25" s="12">
        <v>42.075319</v>
      </c>
      <c r="AM25" s="12">
        <v>36.592258000000001</v>
      </c>
      <c r="AN25" s="12">
        <v>36.056581999999999</v>
      </c>
      <c r="AO25" s="12">
        <v>50.226874000000002</v>
      </c>
      <c r="AP25" s="12">
        <v>32.074770999999998</v>
      </c>
      <c r="AQ25" s="12">
        <v>42.868993000000003</v>
      </c>
      <c r="AR25" s="12">
        <v>40.095869</v>
      </c>
      <c r="AS25" s="12">
        <v>31.904658999999999</v>
      </c>
      <c r="AT25" s="12">
        <v>35.093294999999998</v>
      </c>
      <c r="AU25" s="12">
        <v>38.971581999999998</v>
      </c>
      <c r="AV25" s="12">
        <v>44.238562000000002</v>
      </c>
      <c r="AW25" s="12">
        <v>22.176272000000001</v>
      </c>
      <c r="AX25" s="12">
        <v>37.100707</v>
      </c>
      <c r="AY25" s="12">
        <v>45.208177999999997</v>
      </c>
      <c r="AZ25" s="12">
        <v>40.467692999999997</v>
      </c>
      <c r="BA25" s="12">
        <v>40.547141000000003</v>
      </c>
      <c r="BB25" s="12">
        <v>31.195957</v>
      </c>
      <c r="BC25" s="12">
        <v>32.405943000000001</v>
      </c>
      <c r="BD25" s="12">
        <v>34.874842000000001</v>
      </c>
      <c r="BE25" s="12">
        <v>32.117275999999997</v>
      </c>
      <c r="BF25" s="12">
        <v>32.593457000000001</v>
      </c>
      <c r="BG25" s="12">
        <v>33.513280999999999</v>
      </c>
      <c r="BH25" s="12">
        <v>32.431424999999997</v>
      </c>
      <c r="BI25" s="12">
        <v>40.198929</v>
      </c>
      <c r="BJ25" s="12">
        <v>37.854047999999999</v>
      </c>
      <c r="BK25" s="12">
        <v>38.460943</v>
      </c>
      <c r="BL25" s="12">
        <v>43.025888000000002</v>
      </c>
      <c r="BM25" s="12">
        <v>42.578457</v>
      </c>
      <c r="BN25" s="12">
        <v>41.036746000000001</v>
      </c>
      <c r="BO25" s="12">
        <v>43.826624000000002</v>
      </c>
      <c r="BP25" s="12">
        <v>38.512310999999997</v>
      </c>
      <c r="BQ25" s="12">
        <v>38.135061</v>
      </c>
      <c r="BR25" s="12">
        <v>37.575761999999997</v>
      </c>
      <c r="BS25" s="12">
        <v>31.289514</v>
      </c>
      <c r="BT25" s="12">
        <v>49.210538999999997</v>
      </c>
      <c r="BU25" s="12">
        <v>45.386006999999999</v>
      </c>
      <c r="BV25" s="12">
        <v>40.213102999999997</v>
      </c>
      <c r="BW25" s="13">
        <v>42.676229999999997</v>
      </c>
      <c r="BX25" s="14">
        <f t="shared" si="1"/>
        <v>37.774729684931515</v>
      </c>
      <c r="CM25" s="15">
        <v>29.516649999999998</v>
      </c>
    </row>
    <row r="26" spans="1:91" x14ac:dyDescent="0.2">
      <c r="A26" s="11" t="s">
        <v>88</v>
      </c>
      <c r="B26" s="9" t="s">
        <v>88</v>
      </c>
      <c r="C26" s="12">
        <v>180295.25984799999</v>
      </c>
      <c r="D26" s="12">
        <v>83786.087622999999</v>
      </c>
      <c r="E26" s="12">
        <v>96993.719033999994</v>
      </c>
      <c r="F26" s="12">
        <v>91703.573611</v>
      </c>
      <c r="G26" s="12">
        <v>111834.43292799999</v>
      </c>
      <c r="H26" s="12">
        <v>96250.856509000005</v>
      </c>
      <c r="I26" s="12">
        <v>97767.490187000003</v>
      </c>
      <c r="J26" s="12">
        <v>160696.03458499999</v>
      </c>
      <c r="K26" s="12">
        <v>145218.76375700001</v>
      </c>
      <c r="L26" s="12">
        <v>150534.25231800001</v>
      </c>
      <c r="M26" s="12">
        <v>139652.35050500001</v>
      </c>
      <c r="N26" s="12">
        <v>190208.669524</v>
      </c>
      <c r="O26" s="12">
        <v>139421.353</v>
      </c>
      <c r="P26" s="12">
        <v>126942.766367</v>
      </c>
      <c r="Q26" s="12">
        <v>132763.93598400001</v>
      </c>
      <c r="R26" s="12">
        <v>107960.103674</v>
      </c>
      <c r="S26" s="12">
        <v>113481.7052</v>
      </c>
      <c r="T26" s="12">
        <v>95687.673454999996</v>
      </c>
      <c r="U26" s="12">
        <v>105506.01530299999</v>
      </c>
      <c r="V26" s="12">
        <v>104612.487934</v>
      </c>
      <c r="W26" s="12">
        <v>111402.539034</v>
      </c>
      <c r="X26" s="12">
        <v>110861.813788</v>
      </c>
      <c r="Y26" s="12">
        <v>151259.048679</v>
      </c>
      <c r="Z26" s="12">
        <v>120133.272883</v>
      </c>
      <c r="AA26" s="12">
        <v>130260.30327600001</v>
      </c>
      <c r="AB26" s="12">
        <v>127064.848327</v>
      </c>
      <c r="AC26" s="12">
        <v>102742.210701</v>
      </c>
      <c r="AD26" s="12">
        <v>130936.608794</v>
      </c>
      <c r="AE26" s="12">
        <v>171181.773965</v>
      </c>
      <c r="AF26" s="12">
        <v>95757.949901</v>
      </c>
      <c r="AG26" s="12">
        <v>110742.25852</v>
      </c>
      <c r="AH26" s="12">
        <v>119672.650538</v>
      </c>
      <c r="AI26" s="12">
        <v>121661.26026700001</v>
      </c>
      <c r="AJ26" s="12">
        <v>114792.94239</v>
      </c>
      <c r="AK26" s="12">
        <v>116283.572799</v>
      </c>
      <c r="AL26" s="12">
        <v>149578.109879</v>
      </c>
      <c r="AM26" s="12">
        <v>118455.624433</v>
      </c>
      <c r="AN26" s="12">
        <v>108875.844796</v>
      </c>
      <c r="AO26" s="12">
        <v>170558.69091400001</v>
      </c>
      <c r="AP26" s="12">
        <v>106759.70736299999</v>
      </c>
      <c r="AQ26" s="12">
        <v>135451.01645600001</v>
      </c>
      <c r="AR26" s="12">
        <v>136020.63813599999</v>
      </c>
      <c r="AS26" s="12">
        <v>105241.133258</v>
      </c>
      <c r="AT26" s="12">
        <v>112933.857011</v>
      </c>
      <c r="AU26" s="12">
        <v>126234.568742</v>
      </c>
      <c r="AV26" s="12">
        <v>137202.665118</v>
      </c>
      <c r="AW26" s="12">
        <v>118766.874008</v>
      </c>
      <c r="AX26" s="12">
        <v>127029.445295</v>
      </c>
      <c r="AY26" s="12">
        <v>137260.34140500001</v>
      </c>
      <c r="AZ26" s="12">
        <v>121420.507401</v>
      </c>
      <c r="BA26" s="12">
        <v>135981.18641299999</v>
      </c>
      <c r="BB26" s="12">
        <v>100369.791941</v>
      </c>
      <c r="BC26" s="12">
        <v>99885.486609</v>
      </c>
      <c r="BD26" s="12">
        <v>109512.662212</v>
      </c>
      <c r="BE26" s="12">
        <v>104438.80446100001</v>
      </c>
      <c r="BF26" s="12">
        <v>112909.070177</v>
      </c>
      <c r="BG26" s="12">
        <v>107237.058101</v>
      </c>
      <c r="BH26" s="12">
        <v>109433.985583</v>
      </c>
      <c r="BI26" s="12">
        <v>126510.437341</v>
      </c>
      <c r="BJ26" s="12">
        <v>122204.143889</v>
      </c>
      <c r="BK26" s="12">
        <v>121794.130602</v>
      </c>
      <c r="BL26" s="12">
        <v>134178.27205100001</v>
      </c>
      <c r="BM26" s="12">
        <v>141950.728993</v>
      </c>
      <c r="BN26" s="12">
        <v>133673.745696</v>
      </c>
      <c r="BO26" s="12">
        <v>138601.89923400001</v>
      </c>
      <c r="BP26" s="12">
        <v>133770.90706699999</v>
      </c>
      <c r="BQ26" s="12">
        <v>126121.91035400001</v>
      </c>
      <c r="BR26" s="12">
        <v>130978.749402</v>
      </c>
      <c r="BS26" s="12">
        <v>111346.368707</v>
      </c>
      <c r="BT26" s="12">
        <v>152647.67965199999</v>
      </c>
      <c r="BU26" s="12">
        <v>139243.37195599999</v>
      </c>
      <c r="BV26" s="12">
        <v>141436.81653899999</v>
      </c>
      <c r="BW26" s="13">
        <v>139328.61711600001</v>
      </c>
      <c r="BX26" s="14">
        <f t="shared" si="1"/>
        <v>124539.93744546575</v>
      </c>
      <c r="CM26" s="15">
        <v>96936.380697999994</v>
      </c>
    </row>
    <row r="27" spans="1:91" x14ac:dyDescent="0.2">
      <c r="A27" s="11" t="s">
        <v>89</v>
      </c>
      <c r="B27" s="9" t="s">
        <v>90</v>
      </c>
      <c r="C27" s="12">
        <v>0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2">
        <v>0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0</v>
      </c>
      <c r="AM27" s="12">
        <v>0</v>
      </c>
      <c r="AN27" s="12">
        <v>0</v>
      </c>
      <c r="AO27" s="12">
        <v>0</v>
      </c>
      <c r="AP27" s="12">
        <v>0</v>
      </c>
      <c r="AQ27" s="12">
        <v>0</v>
      </c>
      <c r="AR27" s="12">
        <v>0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</v>
      </c>
      <c r="BA27" s="12">
        <v>0</v>
      </c>
      <c r="BB27" s="12">
        <v>0</v>
      </c>
      <c r="BC27" s="12">
        <v>0</v>
      </c>
      <c r="BD27" s="12">
        <v>0</v>
      </c>
      <c r="BE27" s="12">
        <v>0</v>
      </c>
      <c r="BF27" s="12">
        <v>0</v>
      </c>
      <c r="BG27" s="12">
        <v>0</v>
      </c>
      <c r="BH27" s="12">
        <v>0</v>
      </c>
      <c r="BI27" s="12">
        <v>0</v>
      </c>
      <c r="BJ27" s="12">
        <v>0</v>
      </c>
      <c r="BK27" s="12">
        <v>0</v>
      </c>
      <c r="BL27" s="12">
        <v>0</v>
      </c>
      <c r="BM27" s="12">
        <v>0</v>
      </c>
      <c r="BN27" s="12">
        <v>0</v>
      </c>
      <c r="BO27" s="12">
        <v>0</v>
      </c>
      <c r="BP27" s="12">
        <v>0</v>
      </c>
      <c r="BQ27" s="12">
        <v>0</v>
      </c>
      <c r="BR27" s="12">
        <v>0</v>
      </c>
      <c r="BS27" s="12">
        <v>0</v>
      </c>
      <c r="BT27" s="12">
        <v>0</v>
      </c>
      <c r="BU27" s="12">
        <v>0</v>
      </c>
      <c r="BV27" s="12">
        <v>0</v>
      </c>
      <c r="BW27" s="13">
        <v>0</v>
      </c>
      <c r="BX27" s="14">
        <f t="shared" si="1"/>
        <v>0</v>
      </c>
      <c r="CM27" s="15">
        <v>0</v>
      </c>
    </row>
    <row r="28" spans="1:91" x14ac:dyDescent="0.2">
      <c r="A28" s="11" t="s">
        <v>91</v>
      </c>
      <c r="B28" s="9" t="s">
        <v>91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0</v>
      </c>
      <c r="AO28" s="12">
        <v>0</v>
      </c>
      <c r="AP28" s="12">
        <v>0</v>
      </c>
      <c r="AQ28" s="12">
        <v>0</v>
      </c>
      <c r="AR28" s="12">
        <v>0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0</v>
      </c>
      <c r="BB28" s="12">
        <v>0</v>
      </c>
      <c r="BC28" s="12">
        <v>0</v>
      </c>
      <c r="BD28" s="12">
        <v>0</v>
      </c>
      <c r="BE28" s="12">
        <v>0</v>
      </c>
      <c r="BF28" s="12">
        <v>0</v>
      </c>
      <c r="BG28" s="12">
        <v>0</v>
      </c>
      <c r="BH28" s="12">
        <v>0</v>
      </c>
      <c r="BI28" s="12">
        <v>0</v>
      </c>
      <c r="BJ28" s="12">
        <v>0</v>
      </c>
      <c r="BK28" s="12">
        <v>0</v>
      </c>
      <c r="BL28" s="12">
        <v>0</v>
      </c>
      <c r="BM28" s="12">
        <v>0</v>
      </c>
      <c r="BN28" s="12">
        <v>0</v>
      </c>
      <c r="BO28" s="12">
        <v>0</v>
      </c>
      <c r="BP28" s="12">
        <v>0</v>
      </c>
      <c r="BQ28" s="12">
        <v>0</v>
      </c>
      <c r="BR28" s="12">
        <v>0</v>
      </c>
      <c r="BS28" s="12">
        <v>0</v>
      </c>
      <c r="BT28" s="12">
        <v>0</v>
      </c>
      <c r="BU28" s="12">
        <v>0</v>
      </c>
      <c r="BV28" s="12">
        <v>0</v>
      </c>
      <c r="BW28" s="13">
        <v>0</v>
      </c>
      <c r="BX28" s="14">
        <f t="shared" si="1"/>
        <v>0</v>
      </c>
      <c r="CM28" s="15">
        <v>0</v>
      </c>
    </row>
    <row r="29" spans="1:91" x14ac:dyDescent="0.2">
      <c r="A29" s="11" t="s">
        <v>92</v>
      </c>
      <c r="B29" s="9" t="s">
        <v>92</v>
      </c>
      <c r="C29" s="12">
        <v>3.1687989999999999</v>
      </c>
      <c r="D29" s="12">
        <v>2.1191230000000001</v>
      </c>
      <c r="E29" s="12">
        <v>2.6138319999999999</v>
      </c>
      <c r="F29" s="12">
        <v>2.658239</v>
      </c>
      <c r="G29" s="12">
        <v>2.0579230000000002</v>
      </c>
      <c r="H29" s="12">
        <v>1.6254150000000001</v>
      </c>
      <c r="I29" s="12">
        <v>2.7433670000000001</v>
      </c>
      <c r="J29" s="12">
        <v>3.0187360000000001</v>
      </c>
      <c r="K29" s="12">
        <v>3.491571</v>
      </c>
      <c r="L29" s="12">
        <v>3.4161890000000001</v>
      </c>
      <c r="M29" s="12">
        <v>3.0537359999999998</v>
      </c>
      <c r="N29" s="12">
        <v>3.2841490000000002</v>
      </c>
      <c r="O29" s="12">
        <v>2.3999570000000001</v>
      </c>
      <c r="P29" s="12">
        <v>2.31385</v>
      </c>
      <c r="Q29" s="12">
        <v>2.848897</v>
      </c>
      <c r="R29" s="12">
        <v>2.2962509999999998</v>
      </c>
      <c r="S29" s="12">
        <v>2.5861170000000002</v>
      </c>
      <c r="T29" s="12">
        <v>2.1163669999999999</v>
      </c>
      <c r="U29" s="12">
        <v>2.151227</v>
      </c>
      <c r="V29" s="12">
        <v>1.9650479999999999</v>
      </c>
      <c r="W29" s="12">
        <v>2.3799070000000002</v>
      </c>
      <c r="X29" s="12">
        <v>1.8222929999999999</v>
      </c>
      <c r="Y29" s="12">
        <v>3.334562</v>
      </c>
      <c r="Z29" s="12">
        <v>2.2829090000000001</v>
      </c>
      <c r="AA29" s="12">
        <v>2.863496</v>
      </c>
      <c r="AB29" s="12">
        <v>2.3514059999999999</v>
      </c>
      <c r="AC29" s="12">
        <v>3.7719390000000002</v>
      </c>
      <c r="AD29" s="12">
        <v>4.2943920000000002</v>
      </c>
      <c r="AE29" s="12">
        <v>3.647141</v>
      </c>
      <c r="AF29" s="12">
        <v>2.11381</v>
      </c>
      <c r="AG29" s="12">
        <v>2.704237</v>
      </c>
      <c r="AH29" s="12">
        <v>2.2594569999999998</v>
      </c>
      <c r="AI29" s="12">
        <v>2.8809529999999999</v>
      </c>
      <c r="AJ29" s="12">
        <v>2.0664509999999998</v>
      </c>
      <c r="AK29" s="12">
        <v>2.2469329999999998</v>
      </c>
      <c r="AL29" s="12">
        <v>2.532483</v>
      </c>
      <c r="AM29" s="12">
        <v>2.239074</v>
      </c>
      <c r="AN29" s="12">
        <v>2.2803710000000001</v>
      </c>
      <c r="AO29" s="12">
        <v>2.8883169999999998</v>
      </c>
      <c r="AP29" s="12">
        <v>2.0686490000000002</v>
      </c>
      <c r="AQ29" s="12">
        <v>2.9253999999999998</v>
      </c>
      <c r="AR29" s="12">
        <v>2.5078640000000001</v>
      </c>
      <c r="AS29" s="12">
        <v>2.0571380000000001</v>
      </c>
      <c r="AT29" s="12">
        <v>2.3399930000000002</v>
      </c>
      <c r="AU29" s="12">
        <v>2.3939650000000001</v>
      </c>
      <c r="AV29" s="12">
        <v>2.8205369999999998</v>
      </c>
      <c r="AW29" s="12">
        <v>1.9793559999999999</v>
      </c>
      <c r="AX29" s="12">
        <v>2.0068069999999998</v>
      </c>
      <c r="AY29" s="12">
        <v>2.5707429999999998</v>
      </c>
      <c r="AZ29" s="12">
        <v>2.3933689999999999</v>
      </c>
      <c r="BA29" s="12">
        <v>2.2823099999999998</v>
      </c>
      <c r="BB29" s="12">
        <v>2.0685090000000002</v>
      </c>
      <c r="BC29" s="12">
        <v>2.1607120000000002</v>
      </c>
      <c r="BD29" s="12">
        <v>2.1102470000000002</v>
      </c>
      <c r="BE29" s="12">
        <v>1.9168670000000001</v>
      </c>
      <c r="BF29" s="12">
        <v>2.0038749999999999</v>
      </c>
      <c r="BG29" s="12">
        <v>2.1815600000000002</v>
      </c>
      <c r="BH29" s="12">
        <v>2.0991089999999999</v>
      </c>
      <c r="BI29" s="12">
        <v>2.7119719999999998</v>
      </c>
      <c r="BJ29" s="12">
        <v>2.3336899999999998</v>
      </c>
      <c r="BK29" s="12">
        <v>2.1735730000000002</v>
      </c>
      <c r="BL29" s="12">
        <v>2.8493080000000002</v>
      </c>
      <c r="BM29" s="12">
        <v>2.6616219999999999</v>
      </c>
      <c r="BN29" s="12">
        <v>2.5606279999999999</v>
      </c>
      <c r="BO29" s="12">
        <v>2.9028450000000001</v>
      </c>
      <c r="BP29" s="12">
        <v>2.3695059999999999</v>
      </c>
      <c r="BQ29" s="12">
        <v>2.646703</v>
      </c>
      <c r="BR29" s="12">
        <v>2.2992859999999999</v>
      </c>
      <c r="BS29" s="12">
        <v>1.6352880000000001</v>
      </c>
      <c r="BT29" s="12">
        <v>3.1961819999999999</v>
      </c>
      <c r="BU29" s="12">
        <v>2.7871419999999998</v>
      </c>
      <c r="BV29" s="12">
        <v>2.5775589999999999</v>
      </c>
      <c r="BW29" s="13">
        <v>3.6708069999999999</v>
      </c>
      <c r="BX29" s="14">
        <f t="shared" si="1"/>
        <v>2.5363293835616432</v>
      </c>
      <c r="CM29" s="15">
        <v>1.833073</v>
      </c>
    </row>
    <row r="30" spans="1:91" x14ac:dyDescent="0.2">
      <c r="A30" s="11" t="s">
        <v>93</v>
      </c>
      <c r="B30" s="9" t="s">
        <v>93</v>
      </c>
      <c r="C30" s="12">
        <v>0.33084799999999998</v>
      </c>
      <c r="D30" s="12">
        <v>0.204072</v>
      </c>
      <c r="E30" s="12">
        <v>0.189689</v>
      </c>
      <c r="F30" s="12">
        <v>0.28945100000000001</v>
      </c>
      <c r="G30" s="12">
        <v>0.19251099999999999</v>
      </c>
      <c r="H30" s="12">
        <v>0.13331899999999999</v>
      </c>
      <c r="I30" s="12">
        <v>0.30475600000000003</v>
      </c>
      <c r="J30" s="12">
        <v>0.25643100000000002</v>
      </c>
      <c r="K30" s="12">
        <v>0.26426300000000003</v>
      </c>
      <c r="L30" s="12">
        <v>0.26246799999999998</v>
      </c>
      <c r="M30" s="12">
        <v>0.34717399999999998</v>
      </c>
      <c r="N30" s="12">
        <v>0.50975599999999999</v>
      </c>
      <c r="O30" s="12">
        <v>0.33606000000000003</v>
      </c>
      <c r="P30" s="12">
        <v>0.25603599999999999</v>
      </c>
      <c r="Q30" s="12">
        <v>0.37853100000000001</v>
      </c>
      <c r="R30" s="12">
        <v>0.22724800000000001</v>
      </c>
      <c r="S30" s="12">
        <v>0.27407799999999999</v>
      </c>
      <c r="T30" s="12">
        <v>0.218635</v>
      </c>
      <c r="U30" s="12">
        <v>0.20494799999999999</v>
      </c>
      <c r="V30" s="12">
        <v>0.23322100000000001</v>
      </c>
      <c r="W30" s="12">
        <v>0.220859</v>
      </c>
      <c r="X30" s="12">
        <v>0.20213700000000001</v>
      </c>
      <c r="Y30" s="12">
        <v>0.29507699999999998</v>
      </c>
      <c r="Z30" s="12">
        <v>0.27187600000000001</v>
      </c>
      <c r="AA30" s="12">
        <v>0.27236900000000003</v>
      </c>
      <c r="AB30" s="12">
        <v>0.28891699999999998</v>
      </c>
      <c r="AC30" s="12">
        <v>0.223298</v>
      </c>
      <c r="AD30" s="12">
        <v>0.281194</v>
      </c>
      <c r="AE30" s="12">
        <v>0.43870900000000002</v>
      </c>
      <c r="AF30" s="12">
        <v>0.22566600000000001</v>
      </c>
      <c r="AG30" s="12">
        <v>0.26395099999999999</v>
      </c>
      <c r="AH30" s="12">
        <v>0.248138</v>
      </c>
      <c r="AI30" s="12">
        <v>0.25283</v>
      </c>
      <c r="AJ30" s="12">
        <v>0.24161099999999999</v>
      </c>
      <c r="AK30" s="12">
        <v>0.23267499999999999</v>
      </c>
      <c r="AL30" s="12">
        <v>0.32726100000000002</v>
      </c>
      <c r="AM30" s="12">
        <v>0.240953</v>
      </c>
      <c r="AN30" s="12">
        <v>0.229654</v>
      </c>
      <c r="AO30" s="12">
        <v>0.32683800000000002</v>
      </c>
      <c r="AP30" s="12">
        <v>0.24312300000000001</v>
      </c>
      <c r="AQ30" s="12">
        <v>0.264878</v>
      </c>
      <c r="AR30" s="12">
        <v>0.24444299999999999</v>
      </c>
      <c r="AS30" s="12">
        <v>0.20302799999999999</v>
      </c>
      <c r="AT30" s="12">
        <v>0.24870100000000001</v>
      </c>
      <c r="AU30" s="12">
        <v>0.20982600000000001</v>
      </c>
      <c r="AV30" s="12">
        <v>0.21599099999999999</v>
      </c>
      <c r="AW30" s="12">
        <v>0.30763600000000002</v>
      </c>
      <c r="AX30" s="12">
        <v>0.334422</v>
      </c>
      <c r="AY30" s="12">
        <v>0.29972700000000002</v>
      </c>
      <c r="AZ30" s="12">
        <v>0.213981</v>
      </c>
      <c r="BA30" s="12">
        <v>0.23972099999999999</v>
      </c>
      <c r="BB30" s="12">
        <v>0.220523</v>
      </c>
      <c r="BC30" s="12">
        <v>0.24199300000000001</v>
      </c>
      <c r="BD30" s="12">
        <v>0.225136</v>
      </c>
      <c r="BE30" s="12">
        <v>0.21470700000000001</v>
      </c>
      <c r="BF30" s="12">
        <v>0.23516000000000001</v>
      </c>
      <c r="BG30" s="12">
        <v>0.217387</v>
      </c>
      <c r="BH30" s="12">
        <v>0.20755299999999999</v>
      </c>
      <c r="BI30" s="12">
        <v>0.30279299999999998</v>
      </c>
      <c r="BJ30" s="12">
        <v>0.268011</v>
      </c>
      <c r="BK30" s="12">
        <v>0.26231599999999999</v>
      </c>
      <c r="BL30" s="12">
        <v>0.24657100000000001</v>
      </c>
      <c r="BM30" s="12">
        <v>0.239229</v>
      </c>
      <c r="BN30" s="12">
        <v>0.22084899999999999</v>
      </c>
      <c r="BO30" s="12">
        <v>0.237679</v>
      </c>
      <c r="BP30" s="12">
        <v>0.23361899999999999</v>
      </c>
      <c r="BQ30" s="12">
        <v>0.258438</v>
      </c>
      <c r="BR30" s="12">
        <v>0.22883400000000001</v>
      </c>
      <c r="BS30" s="12">
        <v>0.196183</v>
      </c>
      <c r="BT30" s="12">
        <v>0.29958400000000002</v>
      </c>
      <c r="BU30" s="12">
        <v>0.29840699999999998</v>
      </c>
      <c r="BV30" s="12">
        <v>0.26374300000000001</v>
      </c>
      <c r="BW30" s="13">
        <v>0.275366</v>
      </c>
      <c r="BX30" s="14">
        <f t="shared" si="1"/>
        <v>0.25913789041095908</v>
      </c>
      <c r="CM30" s="15">
        <v>0.15642300000000001</v>
      </c>
    </row>
    <row r="31" spans="1:91" x14ac:dyDescent="0.2">
      <c r="A31" s="11" t="s">
        <v>94</v>
      </c>
      <c r="B31" s="9" t="s">
        <v>94</v>
      </c>
      <c r="C31" s="12">
        <v>602.07937600000002</v>
      </c>
      <c r="D31" s="12">
        <v>275.725168</v>
      </c>
      <c r="E31" s="12">
        <v>318.79881999999998</v>
      </c>
      <c r="F31" s="12">
        <v>301.46688999999998</v>
      </c>
      <c r="G31" s="12">
        <v>369.11911300000003</v>
      </c>
      <c r="H31" s="12">
        <v>318.08606600000002</v>
      </c>
      <c r="I31" s="12">
        <v>322.30179399999997</v>
      </c>
      <c r="J31" s="12">
        <v>532.42092100000002</v>
      </c>
      <c r="K31" s="12">
        <v>480.41353299999997</v>
      </c>
      <c r="L31" s="12">
        <v>498.11107399999997</v>
      </c>
      <c r="M31" s="12">
        <v>465.90434800000003</v>
      </c>
      <c r="N31" s="12">
        <v>635.44743900000003</v>
      </c>
      <c r="O31" s="12">
        <v>460.78722299999998</v>
      </c>
      <c r="P31" s="12">
        <v>419.82320299999998</v>
      </c>
      <c r="Q31" s="12">
        <v>438.087469</v>
      </c>
      <c r="R31" s="12">
        <v>356.865409</v>
      </c>
      <c r="S31" s="12">
        <v>375.08191199999999</v>
      </c>
      <c r="T31" s="12">
        <v>316.23898100000002</v>
      </c>
      <c r="U31" s="12">
        <v>348.79826100000002</v>
      </c>
      <c r="V31" s="12">
        <v>346.17039699999998</v>
      </c>
      <c r="W31" s="12">
        <v>371.83677</v>
      </c>
      <c r="X31" s="12">
        <v>370.59061300000002</v>
      </c>
      <c r="Y31" s="12">
        <v>504.01522999999997</v>
      </c>
      <c r="Z31" s="12">
        <v>396.94449600000002</v>
      </c>
      <c r="AA31" s="12">
        <v>429.61499500000002</v>
      </c>
      <c r="AB31" s="12">
        <v>419.98804699999999</v>
      </c>
      <c r="AC31" s="12">
        <v>337.89453900000001</v>
      </c>
      <c r="AD31" s="12">
        <v>431.22112499999997</v>
      </c>
      <c r="AE31" s="12">
        <v>570.98676899999998</v>
      </c>
      <c r="AF31" s="12">
        <v>317.74984899999998</v>
      </c>
      <c r="AG31" s="12">
        <v>366.96943900000002</v>
      </c>
      <c r="AH31" s="12">
        <v>396.075468</v>
      </c>
      <c r="AI31" s="12">
        <v>399.81736999999998</v>
      </c>
      <c r="AJ31" s="12">
        <v>379.05147199999999</v>
      </c>
      <c r="AK31" s="12">
        <v>388.32362899999998</v>
      </c>
      <c r="AL31" s="12">
        <v>499.28927499999998</v>
      </c>
      <c r="AM31" s="12">
        <v>391.745047</v>
      </c>
      <c r="AN31" s="12">
        <v>358.77232099999998</v>
      </c>
      <c r="AO31" s="12">
        <v>563.09978799999999</v>
      </c>
      <c r="AP31" s="12">
        <v>353.025015</v>
      </c>
      <c r="AQ31" s="12">
        <v>446.79447599999997</v>
      </c>
      <c r="AR31" s="12">
        <v>449.52914600000003</v>
      </c>
      <c r="AS31" s="12">
        <v>348.723457</v>
      </c>
      <c r="AT31" s="12">
        <v>374.16163</v>
      </c>
      <c r="AU31" s="12">
        <v>417.296741</v>
      </c>
      <c r="AV31" s="12">
        <v>452.48628100000002</v>
      </c>
      <c r="AW31" s="12">
        <v>394.23235</v>
      </c>
      <c r="AX31" s="12">
        <v>420.93239599999998</v>
      </c>
      <c r="AY31" s="12">
        <v>449.66202700000002</v>
      </c>
      <c r="AZ31" s="12">
        <v>396.78709600000002</v>
      </c>
      <c r="BA31" s="12">
        <v>446.56926900000002</v>
      </c>
      <c r="BB31" s="12">
        <v>331.58239500000002</v>
      </c>
      <c r="BC31" s="12">
        <v>330.23628100000002</v>
      </c>
      <c r="BD31" s="12">
        <v>362.40189299999997</v>
      </c>
      <c r="BE31" s="12">
        <v>345.79670599999997</v>
      </c>
      <c r="BF31" s="12">
        <v>373.49521199999998</v>
      </c>
      <c r="BG31" s="12">
        <v>354.65007300000002</v>
      </c>
      <c r="BH31" s="12">
        <v>362.25440099999997</v>
      </c>
      <c r="BI31" s="12">
        <v>418.75952699999999</v>
      </c>
      <c r="BJ31" s="12">
        <v>405.08484399999998</v>
      </c>
      <c r="BK31" s="12">
        <v>403.39890200000002</v>
      </c>
      <c r="BL31" s="12">
        <v>443.878378</v>
      </c>
      <c r="BM31" s="12">
        <v>468.94764600000002</v>
      </c>
      <c r="BN31" s="12">
        <v>441.75226600000002</v>
      </c>
      <c r="BO31" s="12">
        <v>458.88024200000001</v>
      </c>
      <c r="BP31" s="12">
        <v>442.29764</v>
      </c>
      <c r="BQ31" s="12">
        <v>416.896007</v>
      </c>
      <c r="BR31" s="12">
        <v>433.454294</v>
      </c>
      <c r="BS31" s="12">
        <v>368.778887</v>
      </c>
      <c r="BT31" s="12">
        <v>504.24541199999999</v>
      </c>
      <c r="BU31" s="12">
        <v>460.13114999999999</v>
      </c>
      <c r="BV31" s="12">
        <v>467.51301000000001</v>
      </c>
      <c r="BW31" s="13">
        <v>460.22820000000002</v>
      </c>
      <c r="BX31" s="14">
        <f t="shared" si="1"/>
        <v>412.06269710958907</v>
      </c>
      <c r="CM31" s="15">
        <v>320.46450299999998</v>
      </c>
    </row>
    <row r="32" spans="1:91" ht="17" thickBot="1" x14ac:dyDescent="0.25">
      <c r="A32" s="17" t="s">
        <v>95</v>
      </c>
      <c r="B32" s="18" t="s">
        <v>95</v>
      </c>
      <c r="C32" s="12">
        <v>2.8407480000000001</v>
      </c>
      <c r="D32" s="12">
        <v>1.392925</v>
      </c>
      <c r="E32" s="12">
        <v>1.737975</v>
      </c>
      <c r="F32" s="12">
        <v>1.906709</v>
      </c>
      <c r="G32" s="12">
        <v>7.6986749999999997</v>
      </c>
      <c r="H32" s="12">
        <v>4.9855809999999998</v>
      </c>
      <c r="I32" s="12">
        <v>1.8569830000000001</v>
      </c>
      <c r="J32" s="12">
        <v>2.066748</v>
      </c>
      <c r="K32" s="12">
        <v>1.9014230000000001</v>
      </c>
      <c r="L32" s="12">
        <v>2.242083</v>
      </c>
      <c r="M32" s="12">
        <v>2.5040339999999999</v>
      </c>
      <c r="N32" s="12">
        <v>2.9028529999999999</v>
      </c>
      <c r="O32" s="12">
        <v>9.5671660000000003</v>
      </c>
      <c r="P32" s="12">
        <v>7.9784259999999998</v>
      </c>
      <c r="Q32" s="12">
        <v>9.0511499999999998</v>
      </c>
      <c r="R32" s="12">
        <v>6.7617180000000001</v>
      </c>
      <c r="S32" s="12">
        <v>7.2816020000000004</v>
      </c>
      <c r="T32" s="12">
        <v>5.701721</v>
      </c>
      <c r="U32" s="12">
        <v>6.2266300000000001</v>
      </c>
      <c r="V32" s="12">
        <v>6.626919</v>
      </c>
      <c r="W32" s="12">
        <v>2.040089</v>
      </c>
      <c r="X32" s="12">
        <v>1.6269359999999999</v>
      </c>
      <c r="Y32" s="12">
        <v>2.6108880000000001</v>
      </c>
      <c r="Z32" s="12">
        <v>6.719265</v>
      </c>
      <c r="AA32" s="12">
        <v>7.98346</v>
      </c>
      <c r="AB32" s="12">
        <v>7.3251369999999998</v>
      </c>
      <c r="AC32" s="12">
        <v>1.924679</v>
      </c>
      <c r="AD32" s="12">
        <v>2.3867780000000001</v>
      </c>
      <c r="AE32" s="12">
        <v>2.6889110000000001</v>
      </c>
      <c r="AF32" s="12">
        <v>4.7877879999999999</v>
      </c>
      <c r="AG32" s="12">
        <v>5.6746480000000004</v>
      </c>
      <c r="AH32" s="12">
        <v>6.8158320000000003</v>
      </c>
      <c r="AI32" s="12">
        <v>11.32676</v>
      </c>
      <c r="AJ32" s="12">
        <v>7.870126</v>
      </c>
      <c r="AK32" s="12">
        <v>1.766553</v>
      </c>
      <c r="AL32" s="12">
        <v>2.1962090000000001</v>
      </c>
      <c r="AM32" s="12">
        <v>8.1531099999999999</v>
      </c>
      <c r="AN32" s="12">
        <v>7.9801460000000004</v>
      </c>
      <c r="AO32" s="12">
        <v>11.711392</v>
      </c>
      <c r="AP32" s="12">
        <v>7.1011170000000003</v>
      </c>
      <c r="AQ32" s="12">
        <v>8.6926290000000002</v>
      </c>
      <c r="AR32" s="12">
        <v>8.6420700000000004</v>
      </c>
      <c r="AS32" s="12">
        <v>5.0206689999999998</v>
      </c>
      <c r="AT32" s="12">
        <v>5.3253830000000004</v>
      </c>
      <c r="AU32" s="12">
        <v>6.2460789999999999</v>
      </c>
      <c r="AV32" s="12">
        <v>9.3084349999999993</v>
      </c>
      <c r="AW32" s="12">
        <v>4.9068670000000001</v>
      </c>
      <c r="AX32" s="12">
        <v>7.3829880000000001</v>
      </c>
      <c r="AY32" s="12">
        <v>14.900843</v>
      </c>
      <c r="AZ32" s="12">
        <v>14.952484999999999</v>
      </c>
      <c r="BA32" s="12">
        <v>12.941874</v>
      </c>
      <c r="BB32" s="12">
        <v>7.3548910000000003</v>
      </c>
      <c r="BC32" s="12">
        <v>5.7151769999999997</v>
      </c>
      <c r="BD32" s="12">
        <v>6.5747780000000002</v>
      </c>
      <c r="BE32" s="12">
        <v>6.1889969999999996</v>
      </c>
      <c r="BF32" s="12">
        <v>6.9428039999999998</v>
      </c>
      <c r="BG32" s="12">
        <v>6.5762260000000001</v>
      </c>
      <c r="BH32" s="12">
        <v>6.2290429999999999</v>
      </c>
      <c r="BI32" s="12">
        <v>6.8846579999999999</v>
      </c>
      <c r="BJ32" s="12">
        <v>6.0324609999999996</v>
      </c>
      <c r="BK32" s="12">
        <v>8.4864449999999998</v>
      </c>
      <c r="BL32" s="12">
        <v>8.5930289999999996</v>
      </c>
      <c r="BM32" s="12">
        <v>7.7259289999999998</v>
      </c>
      <c r="BN32" s="12">
        <v>6.865704</v>
      </c>
      <c r="BO32" s="12">
        <v>7.8631479999999998</v>
      </c>
      <c r="BP32" s="12">
        <v>7.3011739999999996</v>
      </c>
      <c r="BQ32" s="12">
        <v>5.9917910000000001</v>
      </c>
      <c r="BR32" s="12">
        <v>6.540985</v>
      </c>
      <c r="BS32" s="12">
        <v>6.6178629999999998</v>
      </c>
      <c r="BT32" s="12">
        <v>7.8271850000000001</v>
      </c>
      <c r="BU32" s="12">
        <v>7.1727420000000004</v>
      </c>
      <c r="BV32" s="12">
        <v>7.1971689999999997</v>
      </c>
      <c r="BW32" s="13">
        <v>1.9511750000000001</v>
      </c>
      <c r="BX32" s="14">
        <f t="shared" si="1"/>
        <v>6.1763779315068481</v>
      </c>
      <c r="CM32" s="15">
        <v>5.0339419999999997</v>
      </c>
    </row>
    <row r="33" spans="1:91" ht="20" thickBot="1" x14ac:dyDescent="0.3">
      <c r="A33" s="1" t="s">
        <v>98</v>
      </c>
      <c r="B33" s="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3"/>
      <c r="CM33" s="24"/>
    </row>
    <row r="34" spans="1:91" x14ac:dyDescent="0.2">
      <c r="A34" s="25" t="s">
        <v>99</v>
      </c>
      <c r="B34" s="26"/>
      <c r="C34" s="27" t="str">
        <f t="shared" ref="C34:BN34" si="2">IF(C2=C18, "YES", "NO")</f>
        <v>YES</v>
      </c>
      <c r="D34" s="28" t="str">
        <f t="shared" si="2"/>
        <v>YES</v>
      </c>
      <c r="E34" s="28" t="str">
        <f t="shared" si="2"/>
        <v>YES</v>
      </c>
      <c r="F34" s="28" t="str">
        <f t="shared" si="2"/>
        <v>YES</v>
      </c>
      <c r="G34" s="28" t="str">
        <f t="shared" si="2"/>
        <v>YES</v>
      </c>
      <c r="H34" s="28" t="str">
        <f t="shared" si="2"/>
        <v>YES</v>
      </c>
      <c r="I34" s="28" t="str">
        <f t="shared" si="2"/>
        <v>YES</v>
      </c>
      <c r="J34" s="28" t="str">
        <f t="shared" si="2"/>
        <v>YES</v>
      </c>
      <c r="K34" s="28" t="str">
        <f t="shared" si="2"/>
        <v>YES</v>
      </c>
      <c r="L34" s="28" t="str">
        <f t="shared" si="2"/>
        <v>YES</v>
      </c>
      <c r="M34" s="28" t="str">
        <f t="shared" si="2"/>
        <v>YES</v>
      </c>
      <c r="N34" s="28" t="str">
        <f t="shared" si="2"/>
        <v>YES</v>
      </c>
      <c r="O34" s="28" t="str">
        <f t="shared" si="2"/>
        <v>YES</v>
      </c>
      <c r="P34" s="28" t="str">
        <f t="shared" si="2"/>
        <v>YES</v>
      </c>
      <c r="Q34" s="28" t="str">
        <f t="shared" si="2"/>
        <v>YES</v>
      </c>
      <c r="R34" s="28" t="str">
        <f t="shared" si="2"/>
        <v>YES</v>
      </c>
      <c r="S34" s="28" t="str">
        <f t="shared" si="2"/>
        <v>YES</v>
      </c>
      <c r="T34" s="28" t="str">
        <f t="shared" si="2"/>
        <v>YES</v>
      </c>
      <c r="U34" s="28" t="str">
        <f t="shared" si="2"/>
        <v>YES</v>
      </c>
      <c r="V34" s="28" t="str">
        <f t="shared" si="2"/>
        <v>YES</v>
      </c>
      <c r="W34" s="28" t="str">
        <f t="shared" si="2"/>
        <v>YES</v>
      </c>
      <c r="X34" s="28" t="str">
        <f t="shared" si="2"/>
        <v>YES</v>
      </c>
      <c r="Y34" s="28" t="str">
        <f t="shared" si="2"/>
        <v>YES</v>
      </c>
      <c r="Z34" s="28" t="str">
        <f t="shared" si="2"/>
        <v>YES</v>
      </c>
      <c r="AA34" s="28" t="str">
        <f t="shared" si="2"/>
        <v>YES</v>
      </c>
      <c r="AB34" s="28" t="str">
        <f t="shared" si="2"/>
        <v>YES</v>
      </c>
      <c r="AC34" s="28" t="str">
        <f t="shared" si="2"/>
        <v>YES</v>
      </c>
      <c r="AD34" s="28" t="str">
        <f t="shared" si="2"/>
        <v>YES</v>
      </c>
      <c r="AE34" s="28" t="str">
        <f t="shared" si="2"/>
        <v>YES</v>
      </c>
      <c r="AF34" s="28" t="str">
        <f t="shared" si="2"/>
        <v>YES</v>
      </c>
      <c r="AG34" s="28" t="str">
        <f t="shared" si="2"/>
        <v>YES</v>
      </c>
      <c r="AH34" s="28" t="str">
        <f t="shared" si="2"/>
        <v>YES</v>
      </c>
      <c r="AI34" s="28" t="str">
        <f t="shared" si="2"/>
        <v>YES</v>
      </c>
      <c r="AJ34" s="28" t="str">
        <f t="shared" si="2"/>
        <v>YES</v>
      </c>
      <c r="AK34" s="28" t="str">
        <f t="shared" si="2"/>
        <v>YES</v>
      </c>
      <c r="AL34" s="28" t="str">
        <f t="shared" si="2"/>
        <v>YES</v>
      </c>
      <c r="AM34" s="28" t="str">
        <f t="shared" si="2"/>
        <v>YES</v>
      </c>
      <c r="AN34" s="28" t="str">
        <f t="shared" si="2"/>
        <v>YES</v>
      </c>
      <c r="AO34" s="28" t="str">
        <f t="shared" si="2"/>
        <v>YES</v>
      </c>
      <c r="AP34" s="28" t="str">
        <f t="shared" si="2"/>
        <v>YES</v>
      </c>
      <c r="AQ34" s="28" t="str">
        <f t="shared" si="2"/>
        <v>YES</v>
      </c>
      <c r="AR34" s="28" t="str">
        <f t="shared" si="2"/>
        <v>YES</v>
      </c>
      <c r="AS34" s="28" t="str">
        <f t="shared" si="2"/>
        <v>YES</v>
      </c>
      <c r="AT34" s="28" t="str">
        <f t="shared" si="2"/>
        <v>YES</v>
      </c>
      <c r="AU34" s="28" t="str">
        <f t="shared" si="2"/>
        <v>YES</v>
      </c>
      <c r="AV34" s="28" t="str">
        <f t="shared" si="2"/>
        <v>YES</v>
      </c>
      <c r="AW34" s="28" t="str">
        <f t="shared" si="2"/>
        <v>YES</v>
      </c>
      <c r="AX34" s="28" t="str">
        <f t="shared" si="2"/>
        <v>YES</v>
      </c>
      <c r="AY34" s="28" t="str">
        <f t="shared" si="2"/>
        <v>YES</v>
      </c>
      <c r="AZ34" s="28" t="str">
        <f t="shared" si="2"/>
        <v>YES</v>
      </c>
      <c r="BA34" s="28" t="str">
        <f t="shared" si="2"/>
        <v>YES</v>
      </c>
      <c r="BB34" s="28" t="str">
        <f t="shared" si="2"/>
        <v>YES</v>
      </c>
      <c r="BC34" s="28" t="str">
        <f t="shared" si="2"/>
        <v>YES</v>
      </c>
      <c r="BD34" s="28" t="str">
        <f t="shared" si="2"/>
        <v>YES</v>
      </c>
      <c r="BE34" s="28" t="str">
        <f t="shared" si="2"/>
        <v>YES</v>
      </c>
      <c r="BF34" s="28" t="str">
        <f t="shared" si="2"/>
        <v>YES</v>
      </c>
      <c r="BG34" s="28" t="str">
        <f t="shared" si="2"/>
        <v>YES</v>
      </c>
      <c r="BH34" s="28" t="str">
        <f t="shared" si="2"/>
        <v>YES</v>
      </c>
      <c r="BI34" s="28" t="str">
        <f t="shared" si="2"/>
        <v>YES</v>
      </c>
      <c r="BJ34" s="28" t="str">
        <f t="shared" si="2"/>
        <v>YES</v>
      </c>
      <c r="BK34" s="28" t="str">
        <f t="shared" si="2"/>
        <v>YES</v>
      </c>
      <c r="BL34" s="28" t="str">
        <f t="shared" si="2"/>
        <v>YES</v>
      </c>
      <c r="BM34" s="28" t="str">
        <f t="shared" si="2"/>
        <v>YES</v>
      </c>
      <c r="BN34" s="28" t="str">
        <f t="shared" si="2"/>
        <v>YES</v>
      </c>
      <c r="BO34" s="28" t="str">
        <f t="shared" ref="BO34:BX34" si="3">IF(BO2=BO18, "YES", "NO")</f>
        <v>YES</v>
      </c>
      <c r="BP34" s="28" t="str">
        <f t="shared" si="3"/>
        <v>YES</v>
      </c>
      <c r="BQ34" s="28" t="str">
        <f t="shared" si="3"/>
        <v>YES</v>
      </c>
      <c r="BR34" s="28" t="str">
        <f t="shared" si="3"/>
        <v>YES</v>
      </c>
      <c r="BS34" s="28" t="str">
        <f t="shared" si="3"/>
        <v>YES</v>
      </c>
      <c r="BT34" s="28" t="str">
        <f t="shared" si="3"/>
        <v>YES</v>
      </c>
      <c r="BU34" s="28" t="str">
        <f t="shared" si="3"/>
        <v>YES</v>
      </c>
      <c r="BV34" s="28" t="str">
        <f t="shared" si="3"/>
        <v>YES</v>
      </c>
      <c r="BW34" s="29" t="str">
        <f t="shared" si="3"/>
        <v>YES</v>
      </c>
      <c r="BX34" s="30" t="s">
        <v>75</v>
      </c>
      <c r="BY34" s="31" t="s">
        <v>100</v>
      </c>
      <c r="BZ34" s="32" t="s">
        <v>101</v>
      </c>
      <c r="CM34" s="33" t="str">
        <f>IF(CM2=CM18, "YES", "NO")</f>
        <v>YES</v>
      </c>
    </row>
    <row r="35" spans="1:91" x14ac:dyDescent="0.2">
      <c r="A35" s="34" t="s">
        <v>102</v>
      </c>
      <c r="B35" s="35" t="s">
        <v>103</v>
      </c>
      <c r="C35" s="36">
        <f t="shared" ref="C35:BN35" si="4">C9/C3</f>
        <v>5.6989472430407015E-2</v>
      </c>
      <c r="D35" s="37">
        <f t="shared" si="4"/>
        <v>5.8999286062049773E-2</v>
      </c>
      <c r="E35" s="37">
        <f t="shared" si="4"/>
        <v>6.0457839038021315E-2</v>
      </c>
      <c r="F35" s="37">
        <f t="shared" si="4"/>
        <v>6.3344920813723185E-2</v>
      </c>
      <c r="G35" s="37">
        <f t="shared" si="4"/>
        <v>6.0656793980378529E-2</v>
      </c>
      <c r="H35" s="37">
        <f t="shared" si="4"/>
        <v>5.7223551450503861E-2</v>
      </c>
      <c r="I35" s="37">
        <f t="shared" si="4"/>
        <v>5.8306164714634109E-2</v>
      </c>
      <c r="J35" s="37">
        <f t="shared" si="4"/>
        <v>5.4274883037152555E-2</v>
      </c>
      <c r="K35" s="37">
        <f t="shared" si="4"/>
        <v>5.8917026670101416E-2</v>
      </c>
      <c r="L35" s="37">
        <f t="shared" si="4"/>
        <v>5.5590242699900566E-2</v>
      </c>
      <c r="M35" s="37">
        <f t="shared" si="4"/>
        <v>6.1429186600858103E-2</v>
      </c>
      <c r="N35" s="37">
        <f t="shared" si="4"/>
        <v>5.5571891076158557E-2</v>
      </c>
      <c r="O35" s="37">
        <f t="shared" si="4"/>
        <v>5.8321022143981119E-2</v>
      </c>
      <c r="P35" s="37">
        <f t="shared" si="4"/>
        <v>5.4297774971769804E-2</v>
      </c>
      <c r="Q35" s="37">
        <f t="shared" si="4"/>
        <v>6.8163258142581867E-2</v>
      </c>
      <c r="R35" s="37">
        <f t="shared" si="4"/>
        <v>6.4551415527444631E-2</v>
      </c>
      <c r="S35" s="37">
        <f t="shared" si="4"/>
        <v>6.4707125386746708E-2</v>
      </c>
      <c r="T35" s="37">
        <f t="shared" si="4"/>
        <v>6.3917720346899784E-2</v>
      </c>
      <c r="U35" s="37">
        <f t="shared" si="4"/>
        <v>6.0164869268003275E-2</v>
      </c>
      <c r="V35" s="37">
        <f t="shared" si="4"/>
        <v>6.0552329487812459E-2</v>
      </c>
      <c r="W35" s="37">
        <f t="shared" si="4"/>
        <v>6.5755193221340741E-2</v>
      </c>
      <c r="X35" s="37">
        <f t="shared" si="4"/>
        <v>5.7095340548674003E-2</v>
      </c>
      <c r="Y35" s="37">
        <f t="shared" si="4"/>
        <v>6.3667689896331564E-2</v>
      </c>
      <c r="Z35" s="37">
        <f t="shared" si="4"/>
        <v>5.7733843986871751E-2</v>
      </c>
      <c r="AA35" s="37">
        <f t="shared" si="4"/>
        <v>6.194003955192201E-2</v>
      </c>
      <c r="AB35" s="37">
        <f t="shared" si="4"/>
        <v>6.0013555129540166E-2</v>
      </c>
      <c r="AC35" s="37">
        <f t="shared" si="4"/>
        <v>5.6470544561527565E-2</v>
      </c>
      <c r="AD35" s="37">
        <f t="shared" si="4"/>
        <v>5.9053754767879732E-2</v>
      </c>
      <c r="AE35" s="37">
        <f t="shared" si="4"/>
        <v>6.153007873577894E-2</v>
      </c>
      <c r="AF35" s="37">
        <f t="shared" si="4"/>
        <v>6.0197805898401235E-2</v>
      </c>
      <c r="AG35" s="37">
        <f t="shared" si="4"/>
        <v>6.5858049539052277E-2</v>
      </c>
      <c r="AH35" s="37">
        <f t="shared" si="4"/>
        <v>6.0680277846429612E-2</v>
      </c>
      <c r="AI35" s="37">
        <f t="shared" si="4"/>
        <v>5.7321778392104124E-2</v>
      </c>
      <c r="AJ35" s="37">
        <f t="shared" si="4"/>
        <v>5.4462449385642334E-2</v>
      </c>
      <c r="AK35" s="37">
        <f t="shared" si="4"/>
        <v>6.2669033137159116E-2</v>
      </c>
      <c r="AL35" s="37">
        <f t="shared" si="4"/>
        <v>5.5948743929370257E-2</v>
      </c>
      <c r="AM35" s="37">
        <f t="shared" si="4"/>
        <v>6.0970383059576541E-2</v>
      </c>
      <c r="AN35" s="37">
        <f t="shared" si="4"/>
        <v>6.5661931118103284E-2</v>
      </c>
      <c r="AO35" s="37">
        <f t="shared" si="4"/>
        <v>5.7031074816264252E-2</v>
      </c>
      <c r="AP35" s="37">
        <f t="shared" si="4"/>
        <v>5.9046037587881003E-2</v>
      </c>
      <c r="AQ35" s="37">
        <f t="shared" si="4"/>
        <v>6.3818250228468223E-2</v>
      </c>
      <c r="AR35" s="37">
        <f t="shared" si="4"/>
        <v>5.7839443613984305E-2</v>
      </c>
      <c r="AS35" s="37">
        <f t="shared" si="4"/>
        <v>6.0572913632729514E-2</v>
      </c>
      <c r="AT35" s="37">
        <f t="shared" si="4"/>
        <v>6.2778698292568352E-2</v>
      </c>
      <c r="AU35" s="37">
        <f t="shared" si="4"/>
        <v>6.2157072995418797E-2</v>
      </c>
      <c r="AV35" s="37">
        <f t="shared" si="4"/>
        <v>6.2226389074304764E-2</v>
      </c>
      <c r="AW35" s="37">
        <f t="shared" si="4"/>
        <v>3.4700816481807284E-2</v>
      </c>
      <c r="AX35" s="37">
        <f t="shared" si="4"/>
        <v>5.7895146536298354E-2</v>
      </c>
      <c r="AY35" s="37">
        <f t="shared" si="4"/>
        <v>6.4153775477308037E-2</v>
      </c>
      <c r="AZ35" s="37">
        <f t="shared" si="4"/>
        <v>6.5476851387541668E-2</v>
      </c>
      <c r="BA35" s="37">
        <f t="shared" si="4"/>
        <v>5.7999042676872614E-2</v>
      </c>
      <c r="BB35" s="37">
        <f t="shared" si="4"/>
        <v>4.9822214185859179E-2</v>
      </c>
      <c r="BC35" s="37">
        <f t="shared" si="4"/>
        <v>6.4938236511842565E-2</v>
      </c>
      <c r="BD35" s="37">
        <f t="shared" si="4"/>
        <v>6.1175815416588987E-2</v>
      </c>
      <c r="BE35" s="37">
        <f t="shared" si="4"/>
        <v>5.9592923457981208E-2</v>
      </c>
      <c r="BF35" s="37">
        <f t="shared" si="4"/>
        <v>5.6620700943738923E-2</v>
      </c>
      <c r="BG35" s="37">
        <f t="shared" si="4"/>
        <v>6.0953324886598756E-2</v>
      </c>
      <c r="BH35" s="37">
        <f t="shared" si="4"/>
        <v>5.7267362024234464E-2</v>
      </c>
      <c r="BI35" s="37">
        <f t="shared" si="4"/>
        <v>6.3901977343152519E-2</v>
      </c>
      <c r="BJ35" s="37">
        <f t="shared" si="4"/>
        <v>6.1011543822634733E-2</v>
      </c>
      <c r="BK35" s="37">
        <f t="shared" si="4"/>
        <v>6.2125282363383001E-2</v>
      </c>
      <c r="BL35" s="37">
        <f t="shared" si="4"/>
        <v>6.2585088795411012E-2</v>
      </c>
      <c r="BM35" s="37">
        <f t="shared" si="4"/>
        <v>6.0206523103542159E-2</v>
      </c>
      <c r="BN35" s="37">
        <f t="shared" si="4"/>
        <v>6.202915066417037E-2</v>
      </c>
      <c r="BO35" s="37">
        <f t="shared" ref="BO35:BX35" si="5">BO9/BO3</f>
        <v>6.2878046384867575E-2</v>
      </c>
      <c r="BP35" s="37">
        <f t="shared" si="5"/>
        <v>5.8044377887532389E-2</v>
      </c>
      <c r="BQ35" s="37">
        <f t="shared" si="5"/>
        <v>6.239959414709767E-2</v>
      </c>
      <c r="BR35" s="37">
        <f t="shared" si="5"/>
        <v>5.7516664404662327E-2</v>
      </c>
      <c r="BS35" s="37">
        <f t="shared" si="5"/>
        <v>5.3748027631870345E-2</v>
      </c>
      <c r="BT35" s="37">
        <f t="shared" si="5"/>
        <v>6.5176446234139415E-2</v>
      </c>
      <c r="BU35" s="37">
        <f t="shared" si="5"/>
        <v>6.532967763434247E-2</v>
      </c>
      <c r="BV35" s="37">
        <f t="shared" si="5"/>
        <v>5.7845012601131555E-2</v>
      </c>
      <c r="BW35" s="38">
        <f t="shared" si="5"/>
        <v>6.0686263515788853E-2</v>
      </c>
      <c r="BX35" s="39">
        <f>AVERAGE(C35:BW35)</f>
        <v>5.993174018242263E-2</v>
      </c>
      <c r="BY35" s="40">
        <f>BX35-BX36</f>
        <v>1.5280271804101089E-2</v>
      </c>
      <c r="BZ35" s="41">
        <f>BX46*BY35</f>
        <v>12.938810671020141</v>
      </c>
      <c r="CM35" s="42">
        <f>CM9/CM3</f>
        <v>6.1782380719838915E-2</v>
      </c>
    </row>
    <row r="36" spans="1:91" x14ac:dyDescent="0.2">
      <c r="A36" s="34" t="s">
        <v>104</v>
      </c>
      <c r="B36" s="35" t="s">
        <v>105</v>
      </c>
      <c r="C36" s="36">
        <f>C25/C19</f>
        <v>4.2653720340720944E-2</v>
      </c>
      <c r="D36" s="37">
        <f t="shared" ref="D36:BO36" si="6">D25/D19</f>
        <v>4.2498809266589305E-2</v>
      </c>
      <c r="E36" s="37">
        <f t="shared" si="6"/>
        <v>4.5253953266072879E-2</v>
      </c>
      <c r="F36" s="37">
        <f t="shared" si="6"/>
        <v>4.673572467490409E-2</v>
      </c>
      <c r="G36" s="37">
        <f t="shared" si="6"/>
        <v>4.4081379430137624E-2</v>
      </c>
      <c r="H36" s="37">
        <f t="shared" si="6"/>
        <v>4.2048015208624182E-2</v>
      </c>
      <c r="I36" s="37">
        <f t="shared" si="6"/>
        <v>4.264099331805777E-2</v>
      </c>
      <c r="J36" s="37">
        <f t="shared" si="6"/>
        <v>4.1614558533880894E-2</v>
      </c>
      <c r="K36" s="37">
        <f t="shared" si="6"/>
        <v>4.5132681992901887E-2</v>
      </c>
      <c r="L36" s="37">
        <f t="shared" si="6"/>
        <v>4.1645451245723518E-2</v>
      </c>
      <c r="M36" s="37">
        <f t="shared" si="6"/>
        <v>4.4782298408574395E-2</v>
      </c>
      <c r="N36" s="37">
        <f t="shared" si="6"/>
        <v>4.1356795311969931E-2</v>
      </c>
      <c r="O36" s="37">
        <f t="shared" si="6"/>
        <v>4.3151839298464639E-2</v>
      </c>
      <c r="P36" s="37">
        <f t="shared" si="6"/>
        <v>4.1509568636983026E-2</v>
      </c>
      <c r="Q36" s="37">
        <f t="shared" si="6"/>
        <v>4.8171969235948853E-2</v>
      </c>
      <c r="R36" s="37">
        <f t="shared" si="6"/>
        <v>4.8787173132250304E-2</v>
      </c>
      <c r="S36" s="37">
        <f t="shared" si="6"/>
        <v>4.7991777215155865E-2</v>
      </c>
      <c r="T36" s="37">
        <f t="shared" si="6"/>
        <v>4.6729005454245728E-2</v>
      </c>
      <c r="U36" s="37">
        <f t="shared" si="6"/>
        <v>4.5406523256432615E-2</v>
      </c>
      <c r="V36" s="37">
        <f t="shared" si="6"/>
        <v>4.5016816579841884E-2</v>
      </c>
      <c r="W36" s="37">
        <f t="shared" si="6"/>
        <v>4.8827940603981129E-2</v>
      </c>
      <c r="X36" s="37">
        <f t="shared" si="6"/>
        <v>4.3297508740095858E-2</v>
      </c>
      <c r="Y36" s="37">
        <f t="shared" si="6"/>
        <v>4.6943679548167562E-2</v>
      </c>
      <c r="Z36" s="37">
        <f t="shared" si="6"/>
        <v>4.278453382984608E-2</v>
      </c>
      <c r="AA36" s="37">
        <f t="shared" si="6"/>
        <v>4.5145448179592047E-2</v>
      </c>
      <c r="AB36" s="37">
        <f t="shared" si="6"/>
        <v>4.5244611042173977E-2</v>
      </c>
      <c r="AC36" s="37">
        <f t="shared" si="6"/>
        <v>4.3117734575397644E-2</v>
      </c>
      <c r="AD36" s="37">
        <f t="shared" si="6"/>
        <v>4.4747930846126667E-2</v>
      </c>
      <c r="AE36" s="37">
        <f t="shared" si="6"/>
        <v>4.5314495715094404E-2</v>
      </c>
      <c r="AF36" s="37">
        <f t="shared" si="6"/>
        <v>4.4782378319107662E-2</v>
      </c>
      <c r="AG36" s="37">
        <f t="shared" si="6"/>
        <v>4.9129999027536835E-2</v>
      </c>
      <c r="AH36" s="37">
        <f t="shared" si="6"/>
        <v>4.5899962516736129E-2</v>
      </c>
      <c r="AI36" s="37">
        <f t="shared" si="6"/>
        <v>4.3242126653421947E-2</v>
      </c>
      <c r="AJ36" s="37">
        <f t="shared" si="6"/>
        <v>4.1567311674157913E-2</v>
      </c>
      <c r="AK36" s="37">
        <f t="shared" si="6"/>
        <v>4.7164743527566798E-2</v>
      </c>
      <c r="AL36" s="37">
        <f t="shared" si="6"/>
        <v>4.167656471383404E-2</v>
      </c>
      <c r="AM36" s="37">
        <f t="shared" si="6"/>
        <v>4.5347685235846084E-2</v>
      </c>
      <c r="AN36" s="37">
        <f t="shared" si="6"/>
        <v>4.8731645856227281E-2</v>
      </c>
      <c r="AO36" s="37">
        <f t="shared" si="6"/>
        <v>4.3355502169197049E-2</v>
      </c>
      <c r="AP36" s="37">
        <f t="shared" si="6"/>
        <v>4.4150927837099549E-2</v>
      </c>
      <c r="AQ36" s="37">
        <f t="shared" si="6"/>
        <v>4.663095468898687E-2</v>
      </c>
      <c r="AR36" s="37">
        <f t="shared" si="6"/>
        <v>4.3395975307990352E-2</v>
      </c>
      <c r="AS36" s="37">
        <f t="shared" si="6"/>
        <v>4.4733481518155815E-2</v>
      </c>
      <c r="AT36" s="37">
        <f t="shared" si="6"/>
        <v>4.58374572939894E-2</v>
      </c>
      <c r="AU36" s="37">
        <f t="shared" si="6"/>
        <v>4.565861500011157E-2</v>
      </c>
      <c r="AV36" s="37">
        <f t="shared" si="6"/>
        <v>4.7492785929091126E-2</v>
      </c>
      <c r="AW36" s="37">
        <f t="shared" si="6"/>
        <v>2.7592169818485116E-2</v>
      </c>
      <c r="AX36" s="37">
        <f t="shared" si="6"/>
        <v>4.3002909577052509E-2</v>
      </c>
      <c r="AY36" s="37">
        <f t="shared" si="6"/>
        <v>4.8286989374227492E-2</v>
      </c>
      <c r="AZ36" s="37">
        <f t="shared" si="6"/>
        <v>4.875598089087433E-2</v>
      </c>
      <c r="BA36" s="37">
        <f t="shared" si="6"/>
        <v>4.3768707381803718E-2</v>
      </c>
      <c r="BB36" s="37">
        <f t="shared" si="6"/>
        <v>3.7754309072874984E-2</v>
      </c>
      <c r="BC36" s="37">
        <f t="shared" si="6"/>
        <v>4.7810333620876472E-2</v>
      </c>
      <c r="BD36" s="37">
        <f t="shared" si="6"/>
        <v>4.6870777285026331E-2</v>
      </c>
      <c r="BE36" s="37">
        <f t="shared" si="6"/>
        <v>4.5266470202543929E-2</v>
      </c>
      <c r="BF36" s="37">
        <f t="shared" si="6"/>
        <v>4.2508879448678427E-2</v>
      </c>
      <c r="BG36" s="37">
        <f t="shared" si="6"/>
        <v>4.600497129013506E-2</v>
      </c>
      <c r="BH36" s="37">
        <f t="shared" si="6"/>
        <v>4.3655501652241697E-2</v>
      </c>
      <c r="BI36" s="37">
        <f t="shared" si="6"/>
        <v>4.6814145775489688E-2</v>
      </c>
      <c r="BJ36" s="37">
        <f t="shared" si="6"/>
        <v>4.5675689338598613E-2</v>
      </c>
      <c r="BK36" s="37">
        <f t="shared" si="6"/>
        <v>4.6313656623454082E-2</v>
      </c>
      <c r="BL36" s="37">
        <f t="shared" si="6"/>
        <v>4.7135586216161152E-2</v>
      </c>
      <c r="BM36" s="37">
        <f t="shared" si="6"/>
        <v>4.432712050228458E-2</v>
      </c>
      <c r="BN36" s="37">
        <f t="shared" si="6"/>
        <v>4.5380482663506611E-2</v>
      </c>
      <c r="BO36" s="37">
        <f t="shared" si="6"/>
        <v>4.6543009176435418E-2</v>
      </c>
      <c r="BP36" s="37">
        <f t="shared" ref="BP36:BT36" si="7">BP25/BP19</f>
        <v>4.2509907221883275E-2</v>
      </c>
      <c r="BQ36" s="37">
        <f t="shared" si="7"/>
        <v>4.4710155726507099E-2</v>
      </c>
      <c r="BR36" s="37">
        <f t="shared" si="7"/>
        <v>4.2390878085896318E-2</v>
      </c>
      <c r="BS36" s="37">
        <f>BS25/BS19</f>
        <v>4.1425412407639389E-2</v>
      </c>
      <c r="BT36" s="37">
        <f t="shared" ref="BT36:BW36" si="8">BT25/BT19</f>
        <v>4.7655660328490654E-2</v>
      </c>
      <c r="BU36" s="37">
        <f t="shared" si="8"/>
        <v>4.8173635502523328E-2</v>
      </c>
      <c r="BV36" s="37">
        <f t="shared" si="8"/>
        <v>4.2052960211900609E-2</v>
      </c>
      <c r="BW36" s="38">
        <f t="shared" si="8"/>
        <v>4.5739838064868782E-2</v>
      </c>
      <c r="BX36" s="39">
        <f>AVERAGE(C36:BW36)</f>
        <v>4.465146837832154E-2</v>
      </c>
      <c r="BY36" s="43"/>
      <c r="BZ36" s="44"/>
      <c r="CM36" s="42">
        <f>CM25/CM19</f>
        <v>4.4998206697219975E-2</v>
      </c>
    </row>
    <row r="37" spans="1:91" x14ac:dyDescent="0.2">
      <c r="A37" s="34"/>
      <c r="B37" s="35"/>
      <c r="C37" s="45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46"/>
      <c r="BX37" s="47"/>
      <c r="BY37" s="48"/>
      <c r="BZ37" s="49"/>
      <c r="CM37" s="15"/>
    </row>
    <row r="38" spans="1:91" x14ac:dyDescent="0.2">
      <c r="A38" s="34" t="s">
        <v>106</v>
      </c>
      <c r="B38" s="35" t="s">
        <v>107</v>
      </c>
      <c r="C38" s="36">
        <f>C5/C3</f>
        <v>0.99544416473819575</v>
      </c>
      <c r="D38" s="37">
        <f t="shared" ref="D38:BO38" si="9">D5/D3</f>
        <v>0.99097378216268373</v>
      </c>
      <c r="E38" s="37">
        <f t="shared" si="9"/>
        <v>0.99221713952989921</v>
      </c>
      <c r="F38" s="37">
        <f t="shared" si="9"/>
        <v>0.98866341970911731</v>
      </c>
      <c r="G38" s="37">
        <f t="shared" si="9"/>
        <v>0.99331602933776386</v>
      </c>
      <c r="H38" s="37">
        <f t="shared" si="9"/>
        <v>0.9952886783169923</v>
      </c>
      <c r="I38" s="37">
        <f t="shared" si="9"/>
        <v>0.99046953778000291</v>
      </c>
      <c r="J38" s="37">
        <f t="shared" si="9"/>
        <v>0.99509725700875906</v>
      </c>
      <c r="K38" s="37">
        <f t="shared" si="9"/>
        <v>0.99343174850862248</v>
      </c>
      <c r="L38" s="37">
        <f t="shared" si="9"/>
        <v>0.99316117228775747</v>
      </c>
      <c r="M38" s="37">
        <f t="shared" si="9"/>
        <v>0.99468062558788983</v>
      </c>
      <c r="N38" s="37">
        <f t="shared" si="9"/>
        <v>0.99462317208249107</v>
      </c>
      <c r="O38" s="37">
        <f t="shared" si="9"/>
        <v>0.99468019465087198</v>
      </c>
      <c r="P38" s="37">
        <f t="shared" si="9"/>
        <v>0.9931698388993937</v>
      </c>
      <c r="Q38" s="37">
        <f t="shared" si="9"/>
        <v>0.99394804995048314</v>
      </c>
      <c r="R38" s="37">
        <f t="shared" si="9"/>
        <v>0.99325140684127011</v>
      </c>
      <c r="S38" s="37">
        <f t="shared" si="9"/>
        <v>0.99268653646025662</v>
      </c>
      <c r="T38" s="37">
        <f t="shared" si="9"/>
        <v>0.99388685135192145</v>
      </c>
      <c r="U38" s="37">
        <f t="shared" si="9"/>
        <v>0.99336939645222833</v>
      </c>
      <c r="V38" s="37">
        <f t="shared" si="9"/>
        <v>0.9942741003012</v>
      </c>
      <c r="W38" s="37">
        <f t="shared" si="9"/>
        <v>0.99443221918455493</v>
      </c>
      <c r="X38" s="37">
        <f t="shared" si="9"/>
        <v>0.99490930503552721</v>
      </c>
      <c r="Y38" s="37">
        <f t="shared" si="9"/>
        <v>0.99496946740533998</v>
      </c>
      <c r="Z38" s="37">
        <f t="shared" si="9"/>
        <v>0.99264533934323529</v>
      </c>
      <c r="AA38" s="37">
        <f t="shared" si="9"/>
        <v>0.99243726983553604</v>
      </c>
      <c r="AB38" s="37">
        <f t="shared" si="9"/>
        <v>0.99238027586461985</v>
      </c>
      <c r="AC38" s="37">
        <f t="shared" si="9"/>
        <v>0.98973494829831332</v>
      </c>
      <c r="AD38" s="37">
        <f t="shared" si="9"/>
        <v>0.99093654363757377</v>
      </c>
      <c r="AE38" s="37">
        <f t="shared" si="9"/>
        <v>0.99483556602274337</v>
      </c>
      <c r="AF38" s="37">
        <f t="shared" si="9"/>
        <v>0.99093283810919008</v>
      </c>
      <c r="AG38" s="37">
        <f t="shared" si="9"/>
        <v>0.99083999266568956</v>
      </c>
      <c r="AH38" s="37">
        <f t="shared" si="9"/>
        <v>0.99329780653606015</v>
      </c>
      <c r="AI38" s="37">
        <f t="shared" si="9"/>
        <v>0.90414499956054417</v>
      </c>
      <c r="AJ38" s="37">
        <f t="shared" si="9"/>
        <v>0.95145361104420045</v>
      </c>
      <c r="AK38" s="37">
        <f t="shared" si="9"/>
        <v>0.99473784525134257</v>
      </c>
      <c r="AL38" s="37">
        <f t="shared" si="9"/>
        <v>0.99514404297133752</v>
      </c>
      <c r="AM38" s="37">
        <f t="shared" si="9"/>
        <v>0.99192119432905124</v>
      </c>
      <c r="AN38" s="37">
        <f t="shared" si="9"/>
        <v>0.99285755839549328</v>
      </c>
      <c r="AO38" s="37">
        <f t="shared" si="9"/>
        <v>0.99254846294022514</v>
      </c>
      <c r="AP38" s="37">
        <f t="shared" si="9"/>
        <v>0.99259335539800719</v>
      </c>
      <c r="AQ38" s="37">
        <f t="shared" si="9"/>
        <v>0.99310311218212133</v>
      </c>
      <c r="AR38" s="37">
        <f t="shared" si="9"/>
        <v>0.99269155532688036</v>
      </c>
      <c r="AS38" s="37">
        <f t="shared" si="9"/>
        <v>0.99327002990348467</v>
      </c>
      <c r="AT38" s="37">
        <f t="shared" si="9"/>
        <v>0.99240596762339761</v>
      </c>
      <c r="AU38" s="37">
        <f t="shared" si="9"/>
        <v>0.99473051848069138</v>
      </c>
      <c r="AV38" s="37">
        <f t="shared" si="9"/>
        <v>0.99449343398191981</v>
      </c>
      <c r="AW38" s="37">
        <f t="shared" si="9"/>
        <v>0.9942735602574666</v>
      </c>
      <c r="AX38" s="37">
        <f t="shared" si="9"/>
        <v>0.99423979700825105</v>
      </c>
      <c r="AY38" s="37">
        <f t="shared" si="9"/>
        <v>0.99529191103678893</v>
      </c>
      <c r="AZ38" s="37">
        <f t="shared" si="9"/>
        <v>0.99508373864690458</v>
      </c>
      <c r="BA38" s="37">
        <f t="shared" si="9"/>
        <v>0.99422725496979059</v>
      </c>
      <c r="BB38" s="37">
        <f t="shared" si="9"/>
        <v>0.82123416997494558</v>
      </c>
      <c r="BC38" s="37">
        <f t="shared" si="9"/>
        <v>0.99343710175873934</v>
      </c>
      <c r="BD38" s="37">
        <f t="shared" si="9"/>
        <v>0.99264255962357451</v>
      </c>
      <c r="BE38" s="37">
        <f t="shared" si="9"/>
        <v>0.99336687079629871</v>
      </c>
      <c r="BF38" s="37">
        <f t="shared" si="9"/>
        <v>0.99318462043028244</v>
      </c>
      <c r="BG38" s="37">
        <f t="shared" si="9"/>
        <v>0.99338996758223108</v>
      </c>
      <c r="BH38" s="37">
        <f t="shared" si="9"/>
        <v>0.99361395321335733</v>
      </c>
      <c r="BI38" s="37">
        <f t="shared" si="9"/>
        <v>0.9931874915521216</v>
      </c>
      <c r="BJ38" s="37">
        <f t="shared" si="9"/>
        <v>0.99341122440645491</v>
      </c>
      <c r="BK38" s="37">
        <f t="shared" si="9"/>
        <v>0.99314825396870421</v>
      </c>
      <c r="BL38" s="37">
        <f t="shared" si="9"/>
        <v>0.99358079917202069</v>
      </c>
      <c r="BM38" s="37">
        <f t="shared" si="9"/>
        <v>0.99481481322467802</v>
      </c>
      <c r="BN38" s="37">
        <f t="shared" si="9"/>
        <v>0.9943734510415333</v>
      </c>
      <c r="BO38" s="37">
        <f t="shared" si="9"/>
        <v>0.99347758491451787</v>
      </c>
      <c r="BP38" s="37">
        <f t="shared" ref="BP38:BY38" si="10">BP5/BP3</f>
        <v>0.99456580040191889</v>
      </c>
      <c r="BQ38" s="37">
        <f t="shared" si="10"/>
        <v>0.99430610306894307</v>
      </c>
      <c r="BR38" s="37">
        <f t="shared" si="10"/>
        <v>0.99473425380995495</v>
      </c>
      <c r="BS38" s="37">
        <f t="shared" si="10"/>
        <v>0.99527605803305075</v>
      </c>
      <c r="BT38" s="37">
        <f t="shared" si="10"/>
        <v>0.99356689719958469</v>
      </c>
      <c r="BU38" s="37">
        <f t="shared" si="10"/>
        <v>0.99348935953393924</v>
      </c>
      <c r="BV38" s="37">
        <f t="shared" si="10"/>
        <v>0.99432224687275084</v>
      </c>
      <c r="BW38" s="38">
        <f t="shared" si="10"/>
        <v>0.99295510185144686</v>
      </c>
      <c r="BX38" s="39">
        <f>AVERAGE(C38:BW38)</f>
        <v>0.98929144254294721</v>
      </c>
      <c r="BY38" s="40">
        <f>BX38-BX39</f>
        <v>6.5072657239756415E-3</v>
      </c>
      <c r="BZ38" s="41">
        <f>BX46*BY38</f>
        <v>5.5101296801501984</v>
      </c>
      <c r="CM38" s="42">
        <f>CM5/CM3</f>
        <v>0.99350818716391465</v>
      </c>
    </row>
    <row r="39" spans="1:91" x14ac:dyDescent="0.2">
      <c r="A39" s="34" t="s">
        <v>108</v>
      </c>
      <c r="B39" s="35" t="s">
        <v>109</v>
      </c>
      <c r="C39" s="36">
        <f>C21/C19</f>
        <v>0.98915844664010066</v>
      </c>
      <c r="D39" s="37">
        <f t="shared" ref="D39:BO39" si="11">D21/D19</f>
        <v>0.98492080242489166</v>
      </c>
      <c r="E39" s="37">
        <f t="shared" si="11"/>
        <v>0.98491907479027208</v>
      </c>
      <c r="F39" s="37">
        <f t="shared" si="11"/>
        <v>0.98152244334025684</v>
      </c>
      <c r="G39" s="37">
        <f t="shared" si="11"/>
        <v>0.98690331810690823</v>
      </c>
      <c r="H39" s="37">
        <f t="shared" si="11"/>
        <v>0.9895080171586923</v>
      </c>
      <c r="I39" s="37">
        <f t="shared" si="11"/>
        <v>0.98431614984922144</v>
      </c>
      <c r="J39" s="37">
        <f t="shared" si="11"/>
        <v>0.98843944983595466</v>
      </c>
      <c r="K39" s="37">
        <f t="shared" si="11"/>
        <v>0.98612938280123752</v>
      </c>
      <c r="L39" s="37">
        <f t="shared" si="11"/>
        <v>0.98594417357691799</v>
      </c>
      <c r="M39" s="37">
        <f t="shared" si="11"/>
        <v>0.98721024404125379</v>
      </c>
      <c r="N39" s="37">
        <f t="shared" si="11"/>
        <v>0.98862086129206728</v>
      </c>
      <c r="O39" s="37">
        <f t="shared" si="11"/>
        <v>0.98801899414228689</v>
      </c>
      <c r="P39" s="37">
        <f t="shared" si="11"/>
        <v>0.98764264995198559</v>
      </c>
      <c r="Q39" s="37">
        <f t="shared" si="11"/>
        <v>0.98594707722147779</v>
      </c>
      <c r="R39" s="37">
        <f t="shared" si="11"/>
        <v>0.98582595458357647</v>
      </c>
      <c r="S39" s="37">
        <f t="shared" si="11"/>
        <v>0.98545913265961727</v>
      </c>
      <c r="T39" s="37">
        <f t="shared" si="11"/>
        <v>0.9861186132136085</v>
      </c>
      <c r="U39" s="37">
        <f t="shared" si="11"/>
        <v>0.98675075989481109</v>
      </c>
      <c r="V39" s="37">
        <f t="shared" si="11"/>
        <v>0.98775860998410281</v>
      </c>
      <c r="W39" s="37">
        <f t="shared" si="11"/>
        <v>0.98676698065896917</v>
      </c>
      <c r="X39" s="37">
        <f t="shared" si="11"/>
        <v>0.98906265333602461</v>
      </c>
      <c r="Y39" s="37">
        <f t="shared" si="11"/>
        <v>0.98699640680549794</v>
      </c>
      <c r="Z39" s="37">
        <f t="shared" si="11"/>
        <v>0.98679270415357279</v>
      </c>
      <c r="AA39" s="37">
        <f t="shared" si="11"/>
        <v>0.98550571340354853</v>
      </c>
      <c r="AB39" s="37">
        <f t="shared" si="11"/>
        <v>0.98662039954095904</v>
      </c>
      <c r="AC39" s="37">
        <f t="shared" si="11"/>
        <v>0.9833160304719617</v>
      </c>
      <c r="AD39" s="37">
        <f t="shared" si="11"/>
        <v>0.98434471226276643</v>
      </c>
      <c r="AE39" s="37">
        <f t="shared" si="11"/>
        <v>0.98734552334668224</v>
      </c>
      <c r="AF39" s="37">
        <f t="shared" si="11"/>
        <v>0.98475718764785325</v>
      </c>
      <c r="AG39" s="37">
        <f t="shared" si="11"/>
        <v>0.98338972033260674</v>
      </c>
      <c r="AH39" s="37">
        <f t="shared" si="11"/>
        <v>0.98709106378243638</v>
      </c>
      <c r="AI39" s="37">
        <f t="shared" si="11"/>
        <v>0.89780671131255951</v>
      </c>
      <c r="AJ39" s="37">
        <f t="shared" si="11"/>
        <v>0.94629594380415316</v>
      </c>
      <c r="AK39" s="37">
        <f t="shared" si="11"/>
        <v>0.98824059832522171</v>
      </c>
      <c r="AL39" s="37">
        <f t="shared" si="11"/>
        <v>0.98882541057196727</v>
      </c>
      <c r="AM39" s="37">
        <f t="shared" si="11"/>
        <v>0.98552421923825306</v>
      </c>
      <c r="AN39" s="37">
        <f t="shared" si="11"/>
        <v>0.98551160030968699</v>
      </c>
      <c r="AO39" s="37">
        <f t="shared" si="11"/>
        <v>0.98686003794539157</v>
      </c>
      <c r="AP39" s="37">
        <f t="shared" si="11"/>
        <v>0.98616979070171706</v>
      </c>
      <c r="AQ39" s="37">
        <f t="shared" si="11"/>
        <v>0.98555185280665081</v>
      </c>
      <c r="AR39" s="37">
        <f t="shared" si="11"/>
        <v>0.98672949639966356</v>
      </c>
      <c r="AS39" s="37">
        <f t="shared" si="11"/>
        <v>0.98729167725893818</v>
      </c>
      <c r="AT39" s="37">
        <f t="shared" si="11"/>
        <v>0.98596082049855682</v>
      </c>
      <c r="AU39" s="37">
        <f t="shared" si="11"/>
        <v>0.98788339140786707</v>
      </c>
      <c r="AV39" s="37">
        <f t="shared" si="11"/>
        <v>0.98802541482561013</v>
      </c>
      <c r="AW39" s="37">
        <f t="shared" si="11"/>
        <v>0.99113009716221556</v>
      </c>
      <c r="AX39" s="37">
        <f t="shared" si="11"/>
        <v>0.98831436862728295</v>
      </c>
      <c r="AY39" s="37">
        <f t="shared" si="11"/>
        <v>0.98864851347761917</v>
      </c>
      <c r="AZ39" s="37">
        <f t="shared" si="11"/>
        <v>0.98899411043571761</v>
      </c>
      <c r="BA39" s="37">
        <f t="shared" si="11"/>
        <v>0.98873554752258286</v>
      </c>
      <c r="BB39" s="37">
        <f t="shared" si="11"/>
        <v>0.81659909964054123</v>
      </c>
      <c r="BC39" s="37">
        <f t="shared" si="11"/>
        <v>0.98613508213728263</v>
      </c>
      <c r="BD39" s="37">
        <f t="shared" si="11"/>
        <v>0.98717188254341537</v>
      </c>
      <c r="BE39" s="37">
        <f t="shared" si="11"/>
        <v>0.98697486659507871</v>
      </c>
      <c r="BF39" s="37">
        <f t="shared" si="11"/>
        <v>0.98739288018218974</v>
      </c>
      <c r="BG39" s="37">
        <f t="shared" si="11"/>
        <v>0.98677012832057553</v>
      </c>
      <c r="BH39" s="37">
        <f t="shared" si="11"/>
        <v>0.98714178650800277</v>
      </c>
      <c r="BI39" s="37">
        <f t="shared" si="11"/>
        <v>0.98604571483999259</v>
      </c>
      <c r="BJ39" s="37">
        <f t="shared" si="11"/>
        <v>0.98691109240636576</v>
      </c>
      <c r="BK39" s="37">
        <f t="shared" si="11"/>
        <v>0.98778977726984019</v>
      </c>
      <c r="BL39" s="37">
        <f t="shared" si="11"/>
        <v>0.98660141674695789</v>
      </c>
      <c r="BM39" s="37">
        <f t="shared" si="11"/>
        <v>0.98798338787519213</v>
      </c>
      <c r="BN39" s="37">
        <f t="shared" si="11"/>
        <v>0.98749419307143615</v>
      </c>
      <c r="BO39" s="37">
        <f t="shared" si="11"/>
        <v>0.98649149863144303</v>
      </c>
      <c r="BP39" s="37">
        <f t="shared" ref="BP39:BW39" si="12">BP21/BP19</f>
        <v>0.98832928135169251</v>
      </c>
      <c r="BQ39" s="37">
        <f t="shared" si="12"/>
        <v>0.98682071228094159</v>
      </c>
      <c r="BR39" s="37">
        <f t="shared" si="12"/>
        <v>0.98841563545411748</v>
      </c>
      <c r="BS39" s="37">
        <f t="shared" si="12"/>
        <v>0.98989394355114846</v>
      </c>
      <c r="BT39" s="37">
        <f t="shared" si="12"/>
        <v>0.98594400799561999</v>
      </c>
      <c r="BU39" s="37">
        <f t="shared" si="12"/>
        <v>0.98647165729546349</v>
      </c>
      <c r="BV39" s="37">
        <f t="shared" si="12"/>
        <v>0.98755676664498715</v>
      </c>
      <c r="BW39" s="38">
        <f t="shared" si="12"/>
        <v>0.98670724255886322</v>
      </c>
      <c r="BX39" s="39">
        <f>AVERAGE(C39:BW39)</f>
        <v>0.98278417681897157</v>
      </c>
      <c r="BY39" s="43"/>
      <c r="BZ39" s="44"/>
      <c r="CM39" s="42">
        <f>CM21/CM19</f>
        <v>0.98806578281947155</v>
      </c>
    </row>
    <row r="40" spans="1:91" x14ac:dyDescent="0.2">
      <c r="A40" s="34"/>
      <c r="B40" s="35"/>
      <c r="C40" s="36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  <c r="BA40" s="37"/>
      <c r="BB40" s="37"/>
      <c r="BC40" s="37"/>
      <c r="BD40" s="37"/>
      <c r="BE40" s="37"/>
      <c r="BF40" s="37"/>
      <c r="BG40" s="37"/>
      <c r="BH40" s="37"/>
      <c r="BI40" s="37"/>
      <c r="BJ40" s="37"/>
      <c r="BK40" s="37"/>
      <c r="BL40" s="37"/>
      <c r="BM40" s="37"/>
      <c r="BN40" s="37"/>
      <c r="BO40" s="37"/>
      <c r="BP40" s="37"/>
      <c r="BQ40" s="37"/>
      <c r="BR40" s="37"/>
      <c r="BS40" s="37"/>
      <c r="BT40" s="37"/>
      <c r="BU40" s="37"/>
      <c r="BV40" s="37"/>
      <c r="BW40" s="38"/>
      <c r="BX40" s="47"/>
      <c r="BY40" s="48"/>
      <c r="BZ40" s="49"/>
      <c r="CM40" s="42"/>
    </row>
    <row r="41" spans="1:91" x14ac:dyDescent="0.2">
      <c r="A41" s="34" t="s">
        <v>110</v>
      </c>
      <c r="B41" s="35" t="s">
        <v>111</v>
      </c>
      <c r="C41" s="50">
        <f t="shared" ref="C41:BN41" si="13">C14/C3</f>
        <v>1.462232914965873E-4</v>
      </c>
      <c r="D41" s="51">
        <f t="shared" si="13"/>
        <v>3.0135326770911212E-4</v>
      </c>
      <c r="E41" s="51">
        <f t="shared" si="13"/>
        <v>2.8094330938962305E-4</v>
      </c>
      <c r="F41" s="51">
        <f t="shared" si="13"/>
        <v>4.1544228510993091E-4</v>
      </c>
      <c r="G41" s="51">
        <f t="shared" si="13"/>
        <v>1.8374488125249281E-4</v>
      </c>
      <c r="H41" s="51">
        <f t="shared" si="13"/>
        <v>1.5097360401282908E-4</v>
      </c>
      <c r="I41" s="51">
        <f t="shared" si="13"/>
        <v>4.0465557033036754E-4</v>
      </c>
      <c r="J41" s="51">
        <f t="shared" si="13"/>
        <v>1.3513332350120863E-4</v>
      </c>
      <c r="K41" s="51">
        <f t="shared" si="13"/>
        <v>2.1065470768070826E-4</v>
      </c>
      <c r="L41" s="51">
        <f t="shared" si="13"/>
        <v>1.6872134876053335E-4</v>
      </c>
      <c r="M41" s="51">
        <f t="shared" si="13"/>
        <v>2.8021872343334073E-4</v>
      </c>
      <c r="N41" s="51">
        <f t="shared" si="13"/>
        <v>3.3142561427812142E-4</v>
      </c>
      <c r="O41" s="51">
        <f t="shared" si="13"/>
        <v>2.3623654087361791E-4</v>
      </c>
      <c r="P41" s="51">
        <f t="shared" si="13"/>
        <v>1.5554168934101537E-4</v>
      </c>
      <c r="Q41" s="51">
        <f t="shared" si="13"/>
        <v>2.8248117526675874E-4</v>
      </c>
      <c r="R41" s="51">
        <f t="shared" si="13"/>
        <v>2.0661017327145811E-4</v>
      </c>
      <c r="S41" s="51">
        <f t="shared" si="13"/>
        <v>2.9047526368488474E-4</v>
      </c>
      <c r="T41" s="51">
        <f t="shared" si="13"/>
        <v>1.9534029967946322E-4</v>
      </c>
      <c r="U41" s="51">
        <f t="shared" si="13"/>
        <v>2.2067018502885716E-4</v>
      </c>
      <c r="V41" s="51">
        <f t="shared" si="13"/>
        <v>1.9900586374017133E-4</v>
      </c>
      <c r="W41" s="51">
        <f t="shared" si="13"/>
        <v>1.9758473101875217E-4</v>
      </c>
      <c r="X41" s="51">
        <f t="shared" si="13"/>
        <v>1.7597932955290375E-4</v>
      </c>
      <c r="Y41" s="51">
        <f t="shared" si="13"/>
        <v>1.8025305170029531E-4</v>
      </c>
      <c r="Z41" s="51">
        <f t="shared" si="13"/>
        <v>2.9570851749745667E-4</v>
      </c>
      <c r="AA41" s="51">
        <f t="shared" si="13"/>
        <v>2.4823622445620496E-4</v>
      </c>
      <c r="AB41" s="51">
        <f t="shared" si="13"/>
        <v>3.0809399416062433E-4</v>
      </c>
      <c r="AC41" s="51">
        <f t="shared" si="13"/>
        <v>2.234887751640363E-4</v>
      </c>
      <c r="AD41" s="51">
        <f t="shared" si="13"/>
        <v>2.763332858465711E-4</v>
      </c>
      <c r="AE41" s="51">
        <f t="shared" si="13"/>
        <v>2.8236560173889214E-4</v>
      </c>
      <c r="AF41" s="51">
        <f t="shared" si="13"/>
        <v>2.9405871945984937E-4</v>
      </c>
      <c r="AG41" s="51">
        <f t="shared" si="13"/>
        <v>2.6476707683809216E-4</v>
      </c>
      <c r="AH41" s="51">
        <f t="shared" si="13"/>
        <v>2.5009447159635764E-4</v>
      </c>
      <c r="AI41" s="51">
        <f t="shared" si="13"/>
        <v>2.4199393204356299E-4</v>
      </c>
      <c r="AJ41" s="51">
        <f t="shared" si="13"/>
        <v>2.6002276652396778E-4</v>
      </c>
      <c r="AK41" s="51">
        <f t="shared" si="13"/>
        <v>2.0039884230092146E-4</v>
      </c>
      <c r="AL41" s="51">
        <f t="shared" si="13"/>
        <v>2.0566027742781781E-4</v>
      </c>
      <c r="AM41" s="51">
        <f t="shared" si="13"/>
        <v>1.9846412319731149E-4</v>
      </c>
      <c r="AN41" s="51">
        <f t="shared" si="13"/>
        <v>2.4657901285799996E-4</v>
      </c>
      <c r="AO41" s="51">
        <f t="shared" si="13"/>
        <v>2.6116863438115675E-4</v>
      </c>
      <c r="AP41" s="51">
        <f t="shared" si="13"/>
        <v>2.6553789541316445E-4</v>
      </c>
      <c r="AQ41" s="51">
        <f t="shared" si="13"/>
        <v>1.9891555236825015E-4</v>
      </c>
      <c r="AR41" s="51">
        <f t="shared" si="13"/>
        <v>2.7328535897784101E-4</v>
      </c>
      <c r="AS41" s="51">
        <f t="shared" si="13"/>
        <v>2.3599003961408398E-4</v>
      </c>
      <c r="AT41" s="51">
        <f t="shared" si="13"/>
        <v>2.7500545178111657E-4</v>
      </c>
      <c r="AU41" s="51">
        <f t="shared" si="13"/>
        <v>1.4359326830146836E-4</v>
      </c>
      <c r="AV41" s="51">
        <f t="shared" si="13"/>
        <v>1.8909270474041162E-4</v>
      </c>
      <c r="AW41" s="51">
        <f t="shared" si="13"/>
        <v>3.6848582255407557E-4</v>
      </c>
      <c r="AX41" s="51">
        <f t="shared" si="13"/>
        <v>2.5264829067352519E-4</v>
      </c>
      <c r="AY41" s="51">
        <f t="shared" si="13"/>
        <v>1.7952247547031559E-4</v>
      </c>
      <c r="AZ41" s="51">
        <f t="shared" si="13"/>
        <v>1.7589659559202447E-4</v>
      </c>
      <c r="BA41" s="51">
        <f t="shared" si="13"/>
        <v>1.9227745311028925E-4</v>
      </c>
      <c r="BB41" s="51">
        <f t="shared" si="13"/>
        <v>2.1020741410452006E-4</v>
      </c>
      <c r="BC41" s="51">
        <f t="shared" si="13"/>
        <v>2.4161330826745131E-4</v>
      </c>
      <c r="BD41" s="51">
        <f t="shared" si="13"/>
        <v>2.6016725574305635E-4</v>
      </c>
      <c r="BE41" s="51">
        <f t="shared" si="13"/>
        <v>2.0618286326431145E-4</v>
      </c>
      <c r="BF41" s="51">
        <f t="shared" si="13"/>
        <v>2.5556486550680659E-4</v>
      </c>
      <c r="BG41" s="51">
        <f t="shared" si="13"/>
        <v>2.3806580265956005E-4</v>
      </c>
      <c r="BH41" s="51">
        <f t="shared" si="13"/>
        <v>2.0422419749280686E-4</v>
      </c>
      <c r="BI41" s="51">
        <f t="shared" si="13"/>
        <v>2.5865854012932689E-4</v>
      </c>
      <c r="BJ41" s="51">
        <f t="shared" si="13"/>
        <v>2.4022240072354333E-4</v>
      </c>
      <c r="BK41" s="51">
        <f t="shared" si="13"/>
        <v>2.3632872500307261E-4</v>
      </c>
      <c r="BL41" s="51">
        <f t="shared" si="13"/>
        <v>2.0512238798979767E-4</v>
      </c>
      <c r="BM41" s="51">
        <f t="shared" si="13"/>
        <v>1.7490795547964142E-4</v>
      </c>
      <c r="BN41" s="51">
        <f t="shared" si="13"/>
        <v>1.947833006999968E-4</v>
      </c>
      <c r="BO41" s="51">
        <f t="shared" ref="BO41:BW41" si="14">BO14/BO3</f>
        <v>1.9340890537727923E-4</v>
      </c>
      <c r="BP41" s="51">
        <f t="shared" si="14"/>
        <v>1.4024447330578533E-4</v>
      </c>
      <c r="BQ41" s="51">
        <f t="shared" si="14"/>
        <v>1.8889380404757164E-4</v>
      </c>
      <c r="BR41" s="51">
        <f t="shared" si="14"/>
        <v>1.6708492537795402E-4</v>
      </c>
      <c r="BS41" s="51">
        <f t="shared" si="14"/>
        <v>2.1448873297734325E-4</v>
      </c>
      <c r="BT41" s="51">
        <f t="shared" si="14"/>
        <v>2.3185130268957061E-4</v>
      </c>
      <c r="BU41" s="51">
        <f t="shared" si="14"/>
        <v>2.341514718209877E-4</v>
      </c>
      <c r="BV41" s="51">
        <f t="shared" si="14"/>
        <v>2.0927393470941864E-4</v>
      </c>
      <c r="BW41" s="52">
        <f t="shared" si="14"/>
        <v>1.7011513991498404E-4</v>
      </c>
      <c r="BX41" s="39">
        <f>AVERAGE(C41:BW41)</f>
        <v>2.3058787810253703E-4</v>
      </c>
      <c r="BY41" s="40">
        <f>BX41-BX42</f>
        <v>-7.6881771424346356E-5</v>
      </c>
      <c r="BZ41" s="41">
        <f>BX46*BY41</f>
        <v>-6.5100850120040368E-2</v>
      </c>
      <c r="CM41" s="53">
        <f>CM14/CM3</f>
        <v>2.1055657608593854E-4</v>
      </c>
    </row>
    <row r="42" spans="1:91" x14ac:dyDescent="0.2">
      <c r="A42" s="34" t="s">
        <v>112</v>
      </c>
      <c r="B42" s="35" t="s">
        <v>113</v>
      </c>
      <c r="C42" s="50">
        <f t="shared" ref="C42:BN42" si="15">C30/C19</f>
        <v>2.7163518706028647E-4</v>
      </c>
      <c r="D42" s="51">
        <f t="shared" si="15"/>
        <v>3.6511554488557021E-4</v>
      </c>
      <c r="E42" s="51">
        <f t="shared" si="15"/>
        <v>2.9330125380924482E-4</v>
      </c>
      <c r="F42" s="51">
        <f t="shared" si="15"/>
        <v>4.7185750799532029E-4</v>
      </c>
      <c r="G42" s="51">
        <f t="shared" si="15"/>
        <v>2.534184738456591E-4</v>
      </c>
      <c r="H42" s="51">
        <f t="shared" si="15"/>
        <v>2.0497423432101471E-4</v>
      </c>
      <c r="I42" s="51">
        <f t="shared" si="15"/>
        <v>4.6566108141478537E-4</v>
      </c>
      <c r="J42" s="51">
        <f t="shared" si="15"/>
        <v>2.3830149283245381E-4</v>
      </c>
      <c r="K42" s="51">
        <f t="shared" si="15"/>
        <v>2.7150606001817747E-4</v>
      </c>
      <c r="L42" s="51">
        <f t="shared" si="15"/>
        <v>2.5987931460006141E-4</v>
      </c>
      <c r="M42" s="51">
        <f t="shared" si="15"/>
        <v>3.6749049054024194E-4</v>
      </c>
      <c r="N42" s="51">
        <f t="shared" si="15"/>
        <v>3.9645237051228588E-4</v>
      </c>
      <c r="O42" s="51">
        <f t="shared" si="15"/>
        <v>3.5466508785577473E-4</v>
      </c>
      <c r="P42" s="51">
        <f t="shared" si="15"/>
        <v>2.9678189371635264E-4</v>
      </c>
      <c r="Q42" s="51">
        <f t="shared" si="15"/>
        <v>4.1957018710894387E-4</v>
      </c>
      <c r="R42" s="51">
        <f t="shared" si="15"/>
        <v>3.0977962363073477E-4</v>
      </c>
      <c r="S42" s="51">
        <f t="shared" si="15"/>
        <v>3.5508808560085744E-4</v>
      </c>
      <c r="T42" s="51">
        <f t="shared" si="15"/>
        <v>3.3655555186385474E-4</v>
      </c>
      <c r="U42" s="51">
        <f t="shared" si="15"/>
        <v>2.8618561716948815E-4</v>
      </c>
      <c r="V42" s="51">
        <f t="shared" si="15"/>
        <v>3.2800013107572737E-4</v>
      </c>
      <c r="W42" s="51">
        <f t="shared" si="15"/>
        <v>2.9298112140017582E-4</v>
      </c>
      <c r="X42" s="51">
        <f t="shared" si="15"/>
        <v>2.6974796382703785E-4</v>
      </c>
      <c r="Y42" s="51">
        <f t="shared" si="15"/>
        <v>2.8881067818122995E-4</v>
      </c>
      <c r="Z42" s="51">
        <f t="shared" si="15"/>
        <v>3.3370433713738386E-4</v>
      </c>
      <c r="AA42" s="51">
        <f t="shared" si="15"/>
        <v>3.0809403522825989E-4</v>
      </c>
      <c r="AB42" s="51">
        <f t="shared" si="15"/>
        <v>3.3491834323852367E-4</v>
      </c>
      <c r="AC42" s="51">
        <f t="shared" si="15"/>
        <v>3.2441394082154964E-4</v>
      </c>
      <c r="AD42" s="51">
        <f t="shared" si="15"/>
        <v>3.2054875469908337E-4</v>
      </c>
      <c r="AE42" s="51">
        <f t="shared" si="15"/>
        <v>3.7928253458519766E-4</v>
      </c>
      <c r="AF42" s="51">
        <f t="shared" si="15"/>
        <v>3.4625849214502976E-4</v>
      </c>
      <c r="AG42" s="51">
        <f t="shared" si="15"/>
        <v>3.5030518798836714E-4</v>
      </c>
      <c r="AH42" s="51">
        <f t="shared" si="15"/>
        <v>3.0554460229130108E-4</v>
      </c>
      <c r="AI42" s="51">
        <f t="shared" si="15"/>
        <v>2.7715237042800014E-4</v>
      </c>
      <c r="AJ42" s="51">
        <f t="shared" si="15"/>
        <v>2.9654274904945989E-4</v>
      </c>
      <c r="AK42" s="51">
        <f t="shared" si="15"/>
        <v>2.9597248101996879E-4</v>
      </c>
      <c r="AL42" s="51">
        <f t="shared" si="15"/>
        <v>3.2415949703944115E-4</v>
      </c>
      <c r="AM42" s="51">
        <f t="shared" si="15"/>
        <v>2.9860580892911338E-4</v>
      </c>
      <c r="AN42" s="51">
        <f t="shared" si="15"/>
        <v>3.1038486669274478E-4</v>
      </c>
      <c r="AO42" s="51">
        <f t="shared" si="15"/>
        <v>2.8212437863395652E-4</v>
      </c>
      <c r="AP42" s="51">
        <f t="shared" si="15"/>
        <v>3.3465885161079262E-4</v>
      </c>
      <c r="AQ42" s="51">
        <f t="shared" si="15"/>
        <v>2.8812232692541814E-4</v>
      </c>
      <c r="AR42" s="51">
        <f t="shared" si="15"/>
        <v>2.6456197749975401E-4</v>
      </c>
      <c r="AS42" s="51">
        <f t="shared" si="15"/>
        <v>2.8466529874737533E-4</v>
      </c>
      <c r="AT42" s="51">
        <f t="shared" si="15"/>
        <v>3.2484329175907985E-4</v>
      </c>
      <c r="AU42" s="51">
        <f t="shared" si="15"/>
        <v>2.4582950086587225E-4</v>
      </c>
      <c r="AV42" s="51">
        <f t="shared" si="15"/>
        <v>2.3187947035010586E-4</v>
      </c>
      <c r="AW42" s="51">
        <f t="shared" si="15"/>
        <v>3.827669842018301E-4</v>
      </c>
      <c r="AX42" s="51">
        <f t="shared" si="15"/>
        <v>3.8762385381435063E-4</v>
      </c>
      <c r="AY42" s="51">
        <f t="shared" si="15"/>
        <v>3.201393001100174E-4</v>
      </c>
      <c r="AZ42" s="51">
        <f t="shared" si="15"/>
        <v>2.5780697572777827E-4</v>
      </c>
      <c r="BA42" s="51">
        <f t="shared" si="15"/>
        <v>2.5876740119046542E-4</v>
      </c>
      <c r="BB42" s="51">
        <f t="shared" si="15"/>
        <v>2.6688373431459756E-4</v>
      </c>
      <c r="BC42" s="51">
        <f t="shared" si="15"/>
        <v>3.5702605734746747E-4</v>
      </c>
      <c r="BD42" s="51">
        <f t="shared" si="15"/>
        <v>3.0257626155959894E-4</v>
      </c>
      <c r="BE42" s="51">
        <f t="shared" si="15"/>
        <v>3.0261059554918666E-4</v>
      </c>
      <c r="BF42" s="51">
        <f t="shared" si="15"/>
        <v>3.0669922773614408E-4</v>
      </c>
      <c r="BG42" s="51">
        <f t="shared" si="15"/>
        <v>2.9841550559757461E-4</v>
      </c>
      <c r="BH42" s="51">
        <f t="shared" si="15"/>
        <v>2.793842803523965E-4</v>
      </c>
      <c r="BI42" s="51">
        <f t="shared" si="15"/>
        <v>3.5262122634654888E-4</v>
      </c>
      <c r="BJ42" s="51">
        <f t="shared" si="15"/>
        <v>3.233891174684185E-4</v>
      </c>
      <c r="BK42" s="51">
        <f t="shared" si="15"/>
        <v>3.1587403228355528E-4</v>
      </c>
      <c r="BL42" s="51">
        <f t="shared" si="15"/>
        <v>2.7012269052773696E-4</v>
      </c>
      <c r="BM42" s="51">
        <f t="shared" si="15"/>
        <v>2.4905394553496939E-4</v>
      </c>
      <c r="BN42" s="51">
        <f t="shared" si="15"/>
        <v>2.442258510397674E-4</v>
      </c>
      <c r="BO42" s="51">
        <f t="shared" ref="BO42:BW42" si="16">BO30/BO19</f>
        <v>2.5241040418823941E-4</v>
      </c>
      <c r="BP42" s="51">
        <f t="shared" si="16"/>
        <v>2.5786876345252691E-4</v>
      </c>
      <c r="BQ42" s="51">
        <f t="shared" si="16"/>
        <v>3.0299684654095716E-4</v>
      </c>
      <c r="BR42" s="51">
        <f t="shared" si="16"/>
        <v>2.5815775062413903E-4</v>
      </c>
      <c r="BS42" s="51">
        <f t="shared" si="16"/>
        <v>2.5973435325227223E-4</v>
      </c>
      <c r="BT42" s="51">
        <f t="shared" si="16"/>
        <v>2.9011820707451603E-4</v>
      </c>
      <c r="BU42" s="51">
        <f t="shared" si="16"/>
        <v>3.1673528912559939E-4</v>
      </c>
      <c r="BV42" s="51">
        <f t="shared" si="16"/>
        <v>2.7580994894045612E-4</v>
      </c>
      <c r="BW42" s="52">
        <f t="shared" si="16"/>
        <v>2.9513376061031301E-4</v>
      </c>
      <c r="BX42" s="39">
        <f>AVERAGE(C42:BW42)</f>
        <v>3.0746964952688339E-4</v>
      </c>
      <c r="BY42" s="43"/>
      <c r="BZ42" s="44"/>
      <c r="CM42" s="53">
        <f>CM30/CM19</f>
        <v>2.3846725445466341E-4</v>
      </c>
    </row>
    <row r="43" spans="1:91" x14ac:dyDescent="0.2">
      <c r="A43" s="34"/>
      <c r="B43" s="54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51"/>
      <c r="AQ43" s="51"/>
      <c r="AR43" s="51"/>
      <c r="AS43" s="51"/>
      <c r="AT43" s="51"/>
      <c r="AU43" s="51"/>
      <c r="AV43" s="51"/>
      <c r="AW43" s="51"/>
      <c r="AX43" s="51"/>
      <c r="AY43" s="51"/>
      <c r="AZ43" s="51"/>
      <c r="BA43" s="51"/>
      <c r="BB43" s="51"/>
      <c r="BC43" s="51"/>
      <c r="BD43" s="51"/>
      <c r="BE43" s="51"/>
      <c r="BF43" s="51"/>
      <c r="BG43" s="51"/>
      <c r="BH43" s="51"/>
      <c r="BI43" s="51"/>
      <c r="BJ43" s="51"/>
      <c r="BK43" s="51"/>
      <c r="BL43" s="51"/>
      <c r="BM43" s="51"/>
      <c r="BN43" s="51"/>
      <c r="BO43" s="51"/>
      <c r="BP43" s="51"/>
      <c r="BQ43" s="51"/>
      <c r="BR43" s="51"/>
      <c r="BS43" s="51"/>
      <c r="BT43" s="51"/>
      <c r="BU43" s="51"/>
      <c r="BV43" s="51"/>
      <c r="BW43" s="51"/>
      <c r="BX43" s="47"/>
      <c r="BY43" s="48"/>
      <c r="BZ43" s="49"/>
      <c r="CM43" s="53"/>
    </row>
    <row r="44" spans="1:91" x14ac:dyDescent="0.2">
      <c r="A44" s="34" t="s">
        <v>114</v>
      </c>
      <c r="B44" s="54" t="s">
        <v>115</v>
      </c>
      <c r="C44" s="37">
        <v>4.7855140000000003E-3</v>
      </c>
      <c r="D44" s="37">
        <v>8.324171E-3</v>
      </c>
      <c r="E44" s="37">
        <v>7.1302429999999997E-3</v>
      </c>
      <c r="F44" s="37">
        <v>8.8652650000000006E-3</v>
      </c>
      <c r="G44" s="37">
        <v>6.8251010000000001E-3</v>
      </c>
      <c r="H44" s="37">
        <v>6.1651520000000001E-3</v>
      </c>
      <c r="I44" s="37">
        <v>8.9916790000000007E-3</v>
      </c>
      <c r="J44" s="37">
        <v>3.8437810000000001E-3</v>
      </c>
      <c r="K44" s="37">
        <v>3.7882020000000001E-3</v>
      </c>
      <c r="L44" s="37">
        <v>4.9604280000000002E-3</v>
      </c>
      <c r="M44" s="37">
        <v>5.2120639999999998E-3</v>
      </c>
      <c r="N44" s="37">
        <v>5.08269E-3</v>
      </c>
      <c r="O44" s="37">
        <v>6.8249779999999998E-3</v>
      </c>
      <c r="P44" s="37">
        <v>7.4237269999999998E-3</v>
      </c>
      <c r="Q44" s="37">
        <v>6.6865580000000004E-3</v>
      </c>
      <c r="R44" s="37">
        <v>6.1848229999999999E-3</v>
      </c>
      <c r="S44" s="37">
        <v>6.4297290000000003E-3</v>
      </c>
      <c r="T44" s="37">
        <v>7.9624359999999998E-3</v>
      </c>
      <c r="U44" s="37">
        <v>7.837498E-3</v>
      </c>
      <c r="V44" s="37">
        <v>7.4035630000000002E-3</v>
      </c>
      <c r="W44" s="37">
        <v>4.4162699999999999E-3</v>
      </c>
      <c r="X44" s="37">
        <v>4.9851560000000001E-3</v>
      </c>
      <c r="Y44" s="37">
        <v>5.102026E-3</v>
      </c>
      <c r="Z44" s="37">
        <v>5.4077689999999998E-3</v>
      </c>
      <c r="AA44" s="37">
        <v>5.2702840000000001E-3</v>
      </c>
      <c r="AB44" s="37">
        <v>5.5451329999999998E-3</v>
      </c>
      <c r="AC44" s="37">
        <v>4.6010720000000003E-3</v>
      </c>
      <c r="AD44" s="37">
        <v>4.679697E-3</v>
      </c>
      <c r="AE44" s="37">
        <v>5.0189049999999997E-3</v>
      </c>
      <c r="AF44" s="37">
        <v>7.3202190000000002E-3</v>
      </c>
      <c r="AG44" s="37">
        <v>6.8502520000000003E-3</v>
      </c>
      <c r="AH44" s="37">
        <v>6.193802E-3</v>
      </c>
      <c r="AI44" s="37">
        <v>5.4959550000000003E-3</v>
      </c>
      <c r="AJ44" s="37">
        <v>5.8295639999999998E-3</v>
      </c>
      <c r="AK44" s="37">
        <v>5.066531E-3</v>
      </c>
      <c r="AL44" s="37">
        <v>4.6806560000000001E-3</v>
      </c>
      <c r="AM44" s="37">
        <v>6.8265230000000001E-3</v>
      </c>
      <c r="AN44" s="37">
        <v>6.4723860000000001E-3</v>
      </c>
      <c r="AO44" s="37">
        <v>6.7085189999999996E-3</v>
      </c>
      <c r="AP44" s="37">
        <v>6.9760769999999998E-3</v>
      </c>
      <c r="AQ44" s="37">
        <v>6.3341580000000003E-3</v>
      </c>
      <c r="AR44" s="37">
        <v>6.8455740000000001E-3</v>
      </c>
      <c r="AS44" s="37">
        <v>6.6322170000000001E-3</v>
      </c>
      <c r="AT44" s="37">
        <v>6.7238410000000004E-3</v>
      </c>
      <c r="AU44" s="37">
        <v>6.4318750000000001E-3</v>
      </c>
      <c r="AV44" s="37">
        <v>6.0800799999999999E-3</v>
      </c>
      <c r="AW44" s="37">
        <v>5.9333509999999999E-3</v>
      </c>
      <c r="AX44" s="37">
        <v>7.5251420000000003E-3</v>
      </c>
      <c r="AY44" s="37">
        <v>5.3972439999999998E-3</v>
      </c>
      <c r="AZ44" s="37">
        <v>5.0434140000000004E-3</v>
      </c>
      <c r="BA44" s="37">
        <v>5.3111060000000003E-3</v>
      </c>
      <c r="BB44" s="37">
        <v>5.7485590000000003E-3</v>
      </c>
      <c r="BC44" s="37">
        <v>6.2378950000000002E-3</v>
      </c>
      <c r="BD44" s="37">
        <v>6.0958979999999998E-3</v>
      </c>
      <c r="BE44" s="37">
        <v>6.3706220000000003E-3</v>
      </c>
      <c r="BF44" s="37">
        <v>6.5948420000000001E-3</v>
      </c>
      <c r="BG44" s="37">
        <v>6.6676130000000002E-3</v>
      </c>
      <c r="BH44" s="37">
        <v>7.2194640000000001E-3</v>
      </c>
      <c r="BI44" s="37">
        <v>7.6927540000000004E-3</v>
      </c>
      <c r="BJ44" s="37">
        <v>7.764913E-3</v>
      </c>
      <c r="BK44" s="37">
        <v>7.6966389999999999E-3</v>
      </c>
      <c r="BL44" s="37">
        <v>7.0990569999999998E-3</v>
      </c>
      <c r="BM44" s="37">
        <v>6.5923730000000003E-3</v>
      </c>
      <c r="BN44" s="37">
        <v>6.4465310000000001E-3</v>
      </c>
      <c r="BO44" s="37">
        <v>7.2940410000000002E-3</v>
      </c>
      <c r="BP44" s="37">
        <v>6.0909919999999999E-3</v>
      </c>
      <c r="BQ44" s="37">
        <v>6.283449E-3</v>
      </c>
      <c r="BR44" s="37">
        <v>6.5847930000000002E-3</v>
      </c>
      <c r="BS44" s="37">
        <v>6.9029349999999998E-3</v>
      </c>
      <c r="BT44" s="37">
        <v>5.5200900000000001E-3</v>
      </c>
      <c r="BU44" s="37">
        <v>5.5365479999999996E-3</v>
      </c>
      <c r="BV44" s="37">
        <v>5.5802070000000002E-3</v>
      </c>
      <c r="BW44" s="37">
        <v>4.5863409999999999E-3</v>
      </c>
      <c r="BX44" s="39">
        <f>AVERAGE(C44:BW44)</f>
        <v>6.2334103561643818E-3</v>
      </c>
      <c r="BY44" s="40">
        <f>BX44-BX45</f>
        <v>-1.0248247123287703E-3</v>
      </c>
      <c r="BZ44" s="41">
        <f>BY44*BX46</f>
        <v>-0.86778645653709963</v>
      </c>
      <c r="CM44" s="42">
        <v>5.7806960000000001E-3</v>
      </c>
    </row>
    <row r="45" spans="1:91" ht="17" thickBot="1" x14ac:dyDescent="0.25">
      <c r="A45" s="34" t="s">
        <v>116</v>
      </c>
      <c r="B45" s="54" t="s">
        <v>117</v>
      </c>
      <c r="C45" s="37">
        <v>5.7313160000000002E-3</v>
      </c>
      <c r="D45" s="37">
        <v>9.3852109999999992E-3</v>
      </c>
      <c r="E45" s="37">
        <v>8.4539479999999993E-3</v>
      </c>
      <c r="F45" s="37">
        <v>1.026417E-2</v>
      </c>
      <c r="G45" s="37">
        <v>7.8560690000000002E-3</v>
      </c>
      <c r="H45" s="37">
        <v>7.0808119999999997E-3</v>
      </c>
      <c r="I45" s="37">
        <v>1.0106260000000001E-2</v>
      </c>
      <c r="J45" s="37">
        <v>4.7788880000000002E-3</v>
      </c>
      <c r="K45" s="37">
        <v>4.875374E-3</v>
      </c>
      <c r="L45" s="37">
        <v>5.9684660000000004E-3</v>
      </c>
      <c r="M45" s="37">
        <v>6.4026480000000004E-3</v>
      </c>
      <c r="N45" s="37">
        <v>5.9732120000000003E-3</v>
      </c>
      <c r="O45" s="37">
        <v>7.803974E-3</v>
      </c>
      <c r="P45" s="37">
        <v>8.2595759999999994E-3</v>
      </c>
      <c r="Q45" s="37">
        <v>7.9828020000000006E-3</v>
      </c>
      <c r="R45" s="37">
        <v>7.2743169999999998E-3</v>
      </c>
      <c r="S45" s="37">
        <v>7.4962420000000002E-3</v>
      </c>
      <c r="T45" s="37">
        <v>9.1479200000000004E-3</v>
      </c>
      <c r="U45" s="37">
        <v>8.8144360000000001E-3</v>
      </c>
      <c r="V45" s="37">
        <v>8.3634499999999997E-3</v>
      </c>
      <c r="W45" s="37">
        <v>5.6995070000000004E-3</v>
      </c>
      <c r="X45" s="37">
        <v>5.832472E-3</v>
      </c>
      <c r="Y45" s="37">
        <v>6.3662909999999996E-3</v>
      </c>
      <c r="Z45" s="37">
        <v>6.3465170000000003E-3</v>
      </c>
      <c r="AA45" s="37">
        <v>6.447281E-3</v>
      </c>
      <c r="AB45" s="37">
        <v>6.4856100000000002E-3</v>
      </c>
      <c r="AC45" s="37">
        <v>5.6287459999999996E-3</v>
      </c>
      <c r="AD45" s="37">
        <v>5.7642830000000003E-3</v>
      </c>
      <c r="AE45" s="37">
        <v>6.1953080000000001E-3</v>
      </c>
      <c r="AF45" s="37">
        <v>8.2062990000000002E-3</v>
      </c>
      <c r="AG45" s="37">
        <v>7.970843E-3</v>
      </c>
      <c r="AH45" s="37">
        <v>7.1022630000000002E-3</v>
      </c>
      <c r="AI45" s="37">
        <v>6.6961809999999998E-3</v>
      </c>
      <c r="AJ45" s="37">
        <v>6.6279160000000002E-3</v>
      </c>
      <c r="AK45" s="37">
        <v>6.1205929999999997E-3</v>
      </c>
      <c r="AL45" s="37">
        <v>5.600692E-3</v>
      </c>
      <c r="AM45" s="37">
        <v>7.8159619999999992E-3</v>
      </c>
      <c r="AN45" s="37">
        <v>7.6433999999999998E-3</v>
      </c>
      <c r="AO45" s="37">
        <v>7.5853550000000002E-3</v>
      </c>
      <c r="AP45" s="37">
        <v>7.9554949999999999E-3</v>
      </c>
      <c r="AQ45" s="37">
        <v>7.6077920000000004E-3</v>
      </c>
      <c r="AR45" s="37">
        <v>7.7777089999999998E-3</v>
      </c>
      <c r="AS45" s="37">
        <v>7.5486470000000003E-3</v>
      </c>
      <c r="AT45" s="37">
        <v>7.6578899999999997E-3</v>
      </c>
      <c r="AU45" s="37">
        <v>7.539418E-3</v>
      </c>
      <c r="AV45" s="37">
        <v>7.1412580000000002E-3</v>
      </c>
      <c r="AW45" s="37">
        <v>6.6020410000000003E-3</v>
      </c>
      <c r="AX45" s="37">
        <v>8.3945659999999991E-3</v>
      </c>
      <c r="AY45" s="37">
        <v>6.5293169999999998E-3</v>
      </c>
      <c r="AZ45" s="37">
        <v>6.185734E-3</v>
      </c>
      <c r="BA45" s="37">
        <v>6.2449740000000004E-3</v>
      </c>
      <c r="BB45" s="37">
        <v>6.625438E-3</v>
      </c>
      <c r="BC45" s="37">
        <v>7.3796549999999997E-3</v>
      </c>
      <c r="BD45" s="37">
        <v>6.9347139999999998E-3</v>
      </c>
      <c r="BE45" s="37">
        <v>7.2740499999999998E-3</v>
      </c>
      <c r="BF45" s="37">
        <v>7.4136360000000004E-3</v>
      </c>
      <c r="BG45" s="37">
        <v>7.677751E-3</v>
      </c>
      <c r="BH45" s="37">
        <v>8.1388950000000002E-3</v>
      </c>
      <c r="BI45" s="37">
        <v>8.7357440000000001E-3</v>
      </c>
      <c r="BJ45" s="37">
        <v>8.6974689999999993E-3</v>
      </c>
      <c r="BK45" s="37">
        <v>8.4970730000000008E-3</v>
      </c>
      <c r="BL45" s="37">
        <v>8.2185049999999992E-3</v>
      </c>
      <c r="BM45" s="37">
        <v>7.6834809999999998E-3</v>
      </c>
      <c r="BN45" s="37">
        <v>7.5697159999999998E-3</v>
      </c>
      <c r="BO45" s="37">
        <v>8.3979840000000007E-3</v>
      </c>
      <c r="BP45" s="37">
        <v>7.0513080000000001E-3</v>
      </c>
      <c r="BQ45" s="37">
        <v>7.4359880000000001E-3</v>
      </c>
      <c r="BR45" s="37">
        <v>7.533601E-3</v>
      </c>
      <c r="BS45" s="37">
        <v>7.6954650000000003E-3</v>
      </c>
      <c r="BT45" s="37">
        <v>6.736461E-3</v>
      </c>
      <c r="BU45" s="37">
        <v>6.6216189999999996E-3</v>
      </c>
      <c r="BV45" s="37">
        <v>6.6245119999999999E-3</v>
      </c>
      <c r="BW45" s="37">
        <v>5.5686440000000002E-3</v>
      </c>
      <c r="BX45" s="39">
        <f>AVERAGE(C45:BW45)</f>
        <v>7.2582350684931522E-3</v>
      </c>
      <c r="BY45" s="43"/>
      <c r="BZ45" s="44"/>
      <c r="CM45" s="42">
        <v>7.8106260000000002E-3</v>
      </c>
    </row>
    <row r="46" spans="1:91" ht="17" thickBot="1" x14ac:dyDescent="0.25">
      <c r="A46" s="55" t="s">
        <v>118</v>
      </c>
      <c r="B46" s="56"/>
      <c r="C46" s="57">
        <f t="shared" ref="C46:BN46" si="17">AVERAGE(C3,C19)</f>
        <v>1217.9865339999999</v>
      </c>
      <c r="D46" s="58">
        <f t="shared" si="17"/>
        <v>556.09270100000003</v>
      </c>
      <c r="E46" s="58">
        <f t="shared" si="17"/>
        <v>642.88174600000002</v>
      </c>
      <c r="F46" s="58">
        <f t="shared" si="17"/>
        <v>608.13053200000002</v>
      </c>
      <c r="G46" s="58">
        <f t="shared" si="17"/>
        <v>759.65653599999996</v>
      </c>
      <c r="H46" s="58">
        <f t="shared" si="17"/>
        <v>650.41833399999996</v>
      </c>
      <c r="I46" s="58">
        <f t="shared" si="17"/>
        <v>649.98290399999996</v>
      </c>
      <c r="J46" s="58">
        <f t="shared" si="17"/>
        <v>1076.0780259999999</v>
      </c>
      <c r="K46" s="58">
        <f t="shared" si="17"/>
        <v>973.32265800000005</v>
      </c>
      <c r="L46" s="58">
        <f t="shared" si="17"/>
        <v>1009.961106</v>
      </c>
      <c r="M46" s="58">
        <f t="shared" si="17"/>
        <v>944.71560199999999</v>
      </c>
      <c r="N46" s="58">
        <f t="shared" si="17"/>
        <v>1285.7937999999999</v>
      </c>
      <c r="O46" s="58">
        <f t="shared" si="17"/>
        <v>947.54181200000005</v>
      </c>
      <c r="P46" s="58">
        <f t="shared" si="17"/>
        <v>862.70761600000003</v>
      </c>
      <c r="Q46" s="58">
        <f t="shared" si="17"/>
        <v>902.18755199999998</v>
      </c>
      <c r="R46" s="58">
        <f t="shared" si="17"/>
        <v>733.57956000000001</v>
      </c>
      <c r="S46" s="58">
        <f t="shared" si="17"/>
        <v>771.85918400000003</v>
      </c>
      <c r="T46" s="58">
        <f t="shared" si="17"/>
        <v>649.62529600000005</v>
      </c>
      <c r="U46" s="58">
        <f t="shared" si="17"/>
        <v>716.136618</v>
      </c>
      <c r="V46" s="58">
        <f t="shared" si="17"/>
        <v>711.03935000000001</v>
      </c>
      <c r="W46" s="58">
        <f t="shared" si="17"/>
        <v>753.83355400000005</v>
      </c>
      <c r="X46" s="58">
        <f t="shared" si="17"/>
        <v>749.355054</v>
      </c>
      <c r="Y46" s="58">
        <f t="shared" si="17"/>
        <v>1021.696988</v>
      </c>
      <c r="Z46" s="58">
        <f t="shared" si="17"/>
        <v>814.72120600000005</v>
      </c>
      <c r="AA46" s="58">
        <f t="shared" si="17"/>
        <v>884.045028</v>
      </c>
      <c r="AB46" s="58">
        <f t="shared" si="17"/>
        <v>862.64907800000003</v>
      </c>
      <c r="AC46" s="58">
        <f t="shared" si="17"/>
        <v>688.31197399999996</v>
      </c>
      <c r="AD46" s="58">
        <f t="shared" si="17"/>
        <v>877.22693000000004</v>
      </c>
      <c r="AE46" s="58">
        <f t="shared" si="17"/>
        <v>1156.6812600000001</v>
      </c>
      <c r="AF46" s="58">
        <f t="shared" si="17"/>
        <v>651.72697600000004</v>
      </c>
      <c r="AG46" s="58">
        <f t="shared" si="17"/>
        <v>753.488698</v>
      </c>
      <c r="AH46" s="58">
        <f t="shared" si="17"/>
        <v>812.11711200000002</v>
      </c>
      <c r="AI46" s="58">
        <f t="shared" si="17"/>
        <v>912.24188200000003</v>
      </c>
      <c r="AJ46" s="58">
        <f t="shared" si="17"/>
        <v>814.75942599999996</v>
      </c>
      <c r="AK46" s="58">
        <f t="shared" si="17"/>
        <v>786.13727600000004</v>
      </c>
      <c r="AL46" s="58">
        <f t="shared" si="17"/>
        <v>1009.56783</v>
      </c>
      <c r="AM46" s="58">
        <f t="shared" si="17"/>
        <v>806.92669999999998</v>
      </c>
      <c r="AN46" s="58">
        <f t="shared" si="17"/>
        <v>739.90076399999998</v>
      </c>
      <c r="AO46" s="58">
        <f t="shared" si="17"/>
        <v>1158.4890379999999</v>
      </c>
      <c r="AP46" s="58">
        <f t="shared" si="17"/>
        <v>726.48011199999996</v>
      </c>
      <c r="AQ46" s="58">
        <f t="shared" si="17"/>
        <v>919.32479799999999</v>
      </c>
      <c r="AR46" s="58">
        <f t="shared" si="17"/>
        <v>923.95363199999997</v>
      </c>
      <c r="AS46" s="58">
        <f t="shared" si="17"/>
        <v>713.216542</v>
      </c>
      <c r="AT46" s="58">
        <f t="shared" si="17"/>
        <v>765.60300400000006</v>
      </c>
      <c r="AU46" s="58">
        <f t="shared" si="17"/>
        <v>853.54279799999995</v>
      </c>
      <c r="AV46" s="58">
        <f t="shared" si="17"/>
        <v>931.47961599999996</v>
      </c>
      <c r="AW46" s="58">
        <f t="shared" si="17"/>
        <v>803.71613200000002</v>
      </c>
      <c r="AX46" s="58">
        <f t="shared" si="17"/>
        <v>862.74876200000006</v>
      </c>
      <c r="AY46" s="58">
        <f t="shared" si="17"/>
        <v>936.23931800000003</v>
      </c>
      <c r="AZ46" s="58">
        <f t="shared" si="17"/>
        <v>830.00469399999997</v>
      </c>
      <c r="BA46" s="58">
        <f t="shared" si="17"/>
        <v>926.39567</v>
      </c>
      <c r="BB46" s="58">
        <f t="shared" si="17"/>
        <v>826.28864799999997</v>
      </c>
      <c r="BC46" s="58">
        <f t="shared" si="17"/>
        <v>677.80206799999996</v>
      </c>
      <c r="BD46" s="58">
        <f t="shared" si="17"/>
        <v>744.06365800000003</v>
      </c>
      <c r="BE46" s="58">
        <f t="shared" si="17"/>
        <v>709.515804</v>
      </c>
      <c r="BF46" s="58">
        <f t="shared" si="17"/>
        <v>766.74467600000003</v>
      </c>
      <c r="BG46" s="58">
        <f t="shared" si="17"/>
        <v>728.47086000000002</v>
      </c>
      <c r="BH46" s="58">
        <f t="shared" si="17"/>
        <v>742.89433799999995</v>
      </c>
      <c r="BI46" s="58">
        <f t="shared" si="17"/>
        <v>858.69192599999997</v>
      </c>
      <c r="BJ46" s="58">
        <f t="shared" si="17"/>
        <v>828.75701600000002</v>
      </c>
      <c r="BK46" s="58">
        <f t="shared" si="17"/>
        <v>830.44496600000002</v>
      </c>
      <c r="BL46" s="58">
        <f t="shared" si="17"/>
        <v>912.81113600000003</v>
      </c>
      <c r="BM46" s="58">
        <f t="shared" si="17"/>
        <v>960.55093399999998</v>
      </c>
      <c r="BN46" s="58">
        <f t="shared" si="17"/>
        <v>904.28183200000001</v>
      </c>
      <c r="BO46" s="58">
        <f t="shared" ref="BO46:BW46" si="18">AVERAGE(BO3,BO19)</f>
        <v>941.63709600000004</v>
      </c>
      <c r="BP46" s="58">
        <f t="shared" si="18"/>
        <v>905.96083399999998</v>
      </c>
      <c r="BQ46" s="58">
        <f t="shared" si="18"/>
        <v>852.93957</v>
      </c>
      <c r="BR46" s="58">
        <f t="shared" si="18"/>
        <v>886.41150400000004</v>
      </c>
      <c r="BS46" s="58">
        <f t="shared" si="18"/>
        <v>755.32172600000001</v>
      </c>
      <c r="BT46" s="58">
        <f t="shared" si="18"/>
        <v>1032.6273659999999</v>
      </c>
      <c r="BU46" s="58">
        <f t="shared" si="18"/>
        <v>942.13373200000001</v>
      </c>
      <c r="BV46" s="58">
        <f t="shared" si="18"/>
        <v>956.24904400000003</v>
      </c>
      <c r="BW46" s="59">
        <f t="shared" si="18"/>
        <v>933.02101200000004</v>
      </c>
      <c r="BX46" s="60">
        <f>AVERAGE(C46:BW46)</f>
        <v>846.76574061643839</v>
      </c>
      <c r="BY46" s="61"/>
      <c r="BZ46" s="62"/>
      <c r="CM46" s="63">
        <f>AVERAGE(CM3,CM19)</f>
        <v>929.29879099999994</v>
      </c>
    </row>
    <row r="47" spans="1:91" ht="20" thickBot="1" x14ac:dyDescent="0.3">
      <c r="A47" s="1" t="s">
        <v>98</v>
      </c>
      <c r="B47" s="2"/>
      <c r="BX47" s="64"/>
      <c r="BY47" s="48"/>
      <c r="BZ47" s="48"/>
    </row>
    <row r="48" spans="1:91" x14ac:dyDescent="0.2">
      <c r="A48" s="25" t="s">
        <v>99</v>
      </c>
      <c r="B48" s="26"/>
      <c r="BX48" s="64"/>
      <c r="BY48" s="48"/>
      <c r="BZ48" s="48"/>
    </row>
    <row r="49" spans="1:91" x14ac:dyDescent="0.2">
      <c r="A49" s="34" t="s">
        <v>119</v>
      </c>
      <c r="B49" s="35" t="s">
        <v>120</v>
      </c>
      <c r="C49">
        <f>C5-C21</f>
        <v>7.6559199999999237</v>
      </c>
      <c r="D49">
        <f t="shared" ref="D49:BO49" si="19">D5-D21</f>
        <v>-2.2291920000000118</v>
      </c>
      <c r="E49">
        <f t="shared" si="19"/>
        <v>-2.9320999999999913</v>
      </c>
      <c r="F49">
        <f t="shared" si="19"/>
        <v>-6.0959900000000289</v>
      </c>
      <c r="G49">
        <f t="shared" si="19"/>
        <v>4.8714580000000751</v>
      </c>
      <c r="H49">
        <f t="shared" si="19"/>
        <v>3.7598480000000336</v>
      </c>
      <c r="I49">
        <f t="shared" si="19"/>
        <v>-4.8393700000000308</v>
      </c>
      <c r="J49">
        <f t="shared" si="19"/>
        <v>7.1643200000000888</v>
      </c>
      <c r="K49">
        <f t="shared" si="19"/>
        <v>7.1075579999999263</v>
      </c>
      <c r="L49">
        <f t="shared" si="19"/>
        <v>7.2888880000000427</v>
      </c>
      <c r="M49">
        <f t="shared" si="19"/>
        <v>7.0573859999999513</v>
      </c>
      <c r="N49">
        <f t="shared" si="19"/>
        <v>7.717734000000064</v>
      </c>
      <c r="O49">
        <f t="shared" si="19"/>
        <v>6.3117660000000342</v>
      </c>
      <c r="P49">
        <f t="shared" si="19"/>
        <v>4.76834800000006</v>
      </c>
      <c r="Q49">
        <f t="shared" si="19"/>
        <v>7.2183780000000297</v>
      </c>
      <c r="R49">
        <f t="shared" si="19"/>
        <v>5.4471599999999398</v>
      </c>
      <c r="S49">
        <f t="shared" si="19"/>
        <v>5.5785379999999805</v>
      </c>
      <c r="T49">
        <f t="shared" si="19"/>
        <v>5.046444000000065</v>
      </c>
      <c r="U49">
        <f t="shared" si="19"/>
        <v>4.7398479999999381</v>
      </c>
      <c r="V49">
        <f t="shared" si="19"/>
        <v>4.6327700000000505</v>
      </c>
      <c r="W49">
        <f t="shared" si="19"/>
        <v>5.778314000000023</v>
      </c>
      <c r="X49">
        <f t="shared" si="19"/>
        <v>4.3812179999999898</v>
      </c>
      <c r="Y49">
        <f t="shared" si="19"/>
        <v>8.1460520000000542</v>
      </c>
      <c r="Z49">
        <f t="shared" si="19"/>
        <v>4.768265999999926</v>
      </c>
      <c r="AA49">
        <f t="shared" si="19"/>
        <v>6.1278079999999591</v>
      </c>
      <c r="AB49">
        <f t="shared" si="19"/>
        <v>4.968751999999995</v>
      </c>
      <c r="AC49">
        <f t="shared" si="19"/>
        <v>4.4182179999999107</v>
      </c>
      <c r="AD49">
        <f t="shared" si="19"/>
        <v>5.7825319999999465</v>
      </c>
      <c r="AE49">
        <f t="shared" si="19"/>
        <v>8.6635920000001079</v>
      </c>
      <c r="AF49">
        <f t="shared" si="19"/>
        <v>4.0248380000000452</v>
      </c>
      <c r="AG49">
        <f t="shared" si="19"/>
        <v>5.6136960000000045</v>
      </c>
      <c r="AH49">
        <f t="shared" si="19"/>
        <v>5.0406019999999216</v>
      </c>
      <c r="AI49">
        <f t="shared" si="19"/>
        <v>5.7820520000000215</v>
      </c>
      <c r="AJ49">
        <f t="shared" si="19"/>
        <v>4.2022579999999152</v>
      </c>
      <c r="AK49">
        <f t="shared" si="19"/>
        <v>5.1077279999999519</v>
      </c>
      <c r="AL49">
        <f t="shared" si="19"/>
        <v>6.3790879999999106</v>
      </c>
      <c r="AM49">
        <f t="shared" si="19"/>
        <v>5.1618899999999712</v>
      </c>
      <c r="AN49">
        <f t="shared" si="19"/>
        <v>5.4352800000000343</v>
      </c>
      <c r="AO49">
        <f t="shared" si="19"/>
        <v>6.5899779999999737</v>
      </c>
      <c r="AP49">
        <f t="shared" si="19"/>
        <v>4.6665920000000369</v>
      </c>
      <c r="AQ49">
        <f t="shared" si="19"/>
        <v>6.9420600000000832</v>
      </c>
      <c r="AR49">
        <f t="shared" si="19"/>
        <v>5.5086659999999483</v>
      </c>
      <c r="AS49">
        <f t="shared" si="19"/>
        <v>4.2638600000000224</v>
      </c>
      <c r="AT49">
        <f t="shared" si="19"/>
        <v>4.9344240000000354</v>
      </c>
      <c r="AU49">
        <f t="shared" si="19"/>
        <v>5.8443160000000489</v>
      </c>
      <c r="AV49">
        <f t="shared" si="19"/>
        <v>6.0248280000000705</v>
      </c>
      <c r="AW49">
        <f t="shared" si="19"/>
        <v>2.5264519999999493</v>
      </c>
      <c r="AX49">
        <f t="shared" si="19"/>
        <v>5.1121559999999135</v>
      </c>
      <c r="AY49">
        <f t="shared" si="19"/>
        <v>6.2198099999999386</v>
      </c>
      <c r="AZ49">
        <f t="shared" si="19"/>
        <v>5.0544200000000501</v>
      </c>
      <c r="BA49">
        <f t="shared" si="19"/>
        <v>5.0874939999999924</v>
      </c>
      <c r="BB49">
        <f t="shared" si="19"/>
        <v>3.8299059999999372</v>
      </c>
      <c r="BC49">
        <f t="shared" si="19"/>
        <v>4.9493239999999332</v>
      </c>
      <c r="BD49">
        <f t="shared" si="19"/>
        <v>4.0705319999999574</v>
      </c>
      <c r="BE49">
        <f t="shared" si="19"/>
        <v>4.535227999999961</v>
      </c>
      <c r="BF49">
        <f t="shared" si="19"/>
        <v>4.4407860000000028</v>
      </c>
      <c r="BG49">
        <f t="shared" si="19"/>
        <v>4.8223600000000033</v>
      </c>
      <c r="BH49">
        <f t="shared" si="19"/>
        <v>4.8081359999999904</v>
      </c>
      <c r="BI49">
        <f t="shared" si="19"/>
        <v>6.1325860000000603</v>
      </c>
      <c r="BJ49">
        <f t="shared" si="19"/>
        <v>5.3870299999999816</v>
      </c>
      <c r="BK49">
        <f t="shared" si="19"/>
        <v>4.4499199999999064</v>
      </c>
      <c r="BL49">
        <f t="shared" si="19"/>
        <v>6.3708579999999984</v>
      </c>
      <c r="BM49">
        <f t="shared" si="19"/>
        <v>6.5619319999999561</v>
      </c>
      <c r="BN49">
        <f t="shared" si="19"/>
        <v>6.2207879999999705</v>
      </c>
      <c r="BO49">
        <f t="shared" si="19"/>
        <v>6.5783579999999802</v>
      </c>
      <c r="BP49">
        <f t="shared" ref="BP49:BW49" si="20">BP5-BP21</f>
        <v>5.6500419999999849</v>
      </c>
      <c r="BQ49">
        <f t="shared" si="20"/>
        <v>6.384586000000013</v>
      </c>
      <c r="BR49">
        <f t="shared" si="20"/>
        <v>5.6008959999999206</v>
      </c>
      <c r="BS49">
        <f t="shared" si="20"/>
        <v>4.0652280000000474</v>
      </c>
      <c r="BT49">
        <f t="shared" si="20"/>
        <v>7.8716039999999339</v>
      </c>
      <c r="BU49">
        <f t="shared" si="20"/>
        <v>6.6116139999999177</v>
      </c>
      <c r="BV49">
        <f t="shared" si="20"/>
        <v>6.4694839999999658</v>
      </c>
      <c r="BW49">
        <f t="shared" si="20"/>
        <v>5.8293840000000046</v>
      </c>
      <c r="BX49" s="64">
        <f>AVERAGE(C49:BW49)</f>
        <v>5.0748977260273875</v>
      </c>
      <c r="BY49" s="48"/>
      <c r="BZ49" s="48"/>
    </row>
    <row r="50" spans="1:91" x14ac:dyDescent="0.2">
      <c r="A50" s="54" t="s">
        <v>121</v>
      </c>
      <c r="B50" s="54" t="s">
        <v>121</v>
      </c>
      <c r="C50">
        <f>C9-C25</f>
        <v>17.460752999999997</v>
      </c>
      <c r="D50">
        <f t="shared" ref="D50:BO50" si="21">D9-D25</f>
        <v>8.8883789999999969</v>
      </c>
      <c r="E50">
        <f t="shared" si="21"/>
        <v>9.3666729999999951</v>
      </c>
      <c r="F50">
        <f t="shared" si="21"/>
        <v>9.5173190000000005</v>
      </c>
      <c r="G50">
        <f t="shared" si="21"/>
        <v>12.591622000000001</v>
      </c>
      <c r="H50">
        <f t="shared" si="21"/>
        <v>9.8704470000000022</v>
      </c>
      <c r="I50">
        <f t="shared" si="21"/>
        <v>9.7302630000000008</v>
      </c>
      <c r="J50">
        <f t="shared" si="21"/>
        <v>13.623497</v>
      </c>
      <c r="K50">
        <f t="shared" si="21"/>
        <v>13.416615</v>
      </c>
      <c r="L50">
        <f t="shared" si="21"/>
        <v>14.083697000000001</v>
      </c>
      <c r="M50">
        <f t="shared" si="21"/>
        <v>15.726574999999997</v>
      </c>
      <c r="N50">
        <f t="shared" si="21"/>
        <v>18.277681999999999</v>
      </c>
      <c r="O50">
        <f t="shared" si="21"/>
        <v>14.373435000000001</v>
      </c>
      <c r="P50">
        <f t="shared" si="21"/>
        <v>11.032482999999999</v>
      </c>
      <c r="Q50">
        <f t="shared" si="21"/>
        <v>18.035891999999997</v>
      </c>
      <c r="R50">
        <f t="shared" si="21"/>
        <v>11.564326000000001</v>
      </c>
      <c r="S50">
        <f t="shared" si="21"/>
        <v>12.901895000000003</v>
      </c>
      <c r="T50">
        <f t="shared" si="21"/>
        <v>11.166224</v>
      </c>
      <c r="U50">
        <f t="shared" si="21"/>
        <v>10.568992000000001</v>
      </c>
      <c r="V50">
        <f t="shared" si="21"/>
        <v>11.046361000000005</v>
      </c>
      <c r="W50">
        <f t="shared" si="21"/>
        <v>12.760331000000001</v>
      </c>
      <c r="X50">
        <f t="shared" si="21"/>
        <v>10.339474999999993</v>
      </c>
      <c r="Y50">
        <f t="shared" si="21"/>
        <v>17.086871000000002</v>
      </c>
      <c r="Z50">
        <f t="shared" si="21"/>
        <v>12.179520000000004</v>
      </c>
      <c r="AA50">
        <f t="shared" si="21"/>
        <v>14.847175</v>
      </c>
      <c r="AB50">
        <f t="shared" si="21"/>
        <v>12.740415999999996</v>
      </c>
      <c r="AC50">
        <f t="shared" si="21"/>
        <v>9.1908989999999982</v>
      </c>
      <c r="AD50">
        <f t="shared" si="21"/>
        <v>12.549454000000004</v>
      </c>
      <c r="AE50">
        <f t="shared" si="21"/>
        <v>18.756260999999995</v>
      </c>
      <c r="AF50">
        <f t="shared" si="21"/>
        <v>10.04665</v>
      </c>
      <c r="AG50">
        <f t="shared" si="21"/>
        <v>12.604397000000006</v>
      </c>
      <c r="AH50">
        <f t="shared" si="21"/>
        <v>12.003346999999998</v>
      </c>
      <c r="AI50">
        <f t="shared" si="21"/>
        <v>12.844048000000001</v>
      </c>
      <c r="AJ50">
        <f t="shared" si="21"/>
        <v>10.506434999999996</v>
      </c>
      <c r="AK50">
        <f t="shared" si="21"/>
        <v>12.188500000000005</v>
      </c>
      <c r="AL50">
        <f t="shared" si="21"/>
        <v>14.408732999999998</v>
      </c>
      <c r="AM50">
        <f t="shared" si="21"/>
        <v>12.606372</v>
      </c>
      <c r="AN50">
        <f t="shared" si="21"/>
        <v>12.526730999999998</v>
      </c>
      <c r="AO50">
        <f t="shared" si="21"/>
        <v>15.843000999999994</v>
      </c>
      <c r="AP50">
        <f t="shared" si="21"/>
        <v>10.821001000000003</v>
      </c>
      <c r="AQ50">
        <f t="shared" si="21"/>
        <v>15.800706999999996</v>
      </c>
      <c r="AR50">
        <f t="shared" si="21"/>
        <v>13.345095000000001</v>
      </c>
      <c r="AS50">
        <f t="shared" si="21"/>
        <v>11.296945000000004</v>
      </c>
      <c r="AT50">
        <f t="shared" si="21"/>
        <v>12.970265000000005</v>
      </c>
      <c r="AU50">
        <f t="shared" si="21"/>
        <v>14.082140000000003</v>
      </c>
      <c r="AV50">
        <f t="shared" si="21"/>
        <v>13.724050999999996</v>
      </c>
      <c r="AW50">
        <f t="shared" si="21"/>
        <v>5.7133339999999997</v>
      </c>
      <c r="AX50">
        <f t="shared" si="21"/>
        <v>12.848258999999999</v>
      </c>
      <c r="AY50">
        <f t="shared" si="21"/>
        <v>14.855109000000006</v>
      </c>
      <c r="AZ50">
        <f t="shared" si="21"/>
        <v>13.878401000000004</v>
      </c>
      <c r="BA50">
        <f t="shared" si="21"/>
        <v>13.182920999999993</v>
      </c>
      <c r="BB50">
        <f t="shared" si="21"/>
        <v>9.9715729999999994</v>
      </c>
      <c r="BC50">
        <f t="shared" si="21"/>
        <v>11.609327999999998</v>
      </c>
      <c r="BD50">
        <f t="shared" si="21"/>
        <v>10.643858999999999</v>
      </c>
      <c r="BE50">
        <f t="shared" si="21"/>
        <v>10.164845</v>
      </c>
      <c r="BF50">
        <f t="shared" si="21"/>
        <v>10.820163999999998</v>
      </c>
      <c r="BG50">
        <f t="shared" si="21"/>
        <v>10.88944</v>
      </c>
      <c r="BH50">
        <f t="shared" si="21"/>
        <v>10.112174000000003</v>
      </c>
      <c r="BI50">
        <f t="shared" si="21"/>
        <v>14.673183000000002</v>
      </c>
      <c r="BJ50">
        <f t="shared" si="21"/>
        <v>12.709696999999998</v>
      </c>
      <c r="BK50">
        <f t="shared" si="21"/>
        <v>13.130685</v>
      </c>
      <c r="BL50">
        <f t="shared" si="21"/>
        <v>14.102477999999998</v>
      </c>
      <c r="BM50">
        <f t="shared" si="21"/>
        <v>15.252974999999999</v>
      </c>
      <c r="BN50">
        <f t="shared" si="21"/>
        <v>15.055087999999998</v>
      </c>
      <c r="BO50">
        <f t="shared" si="21"/>
        <v>15.381676999999996</v>
      </c>
      <c r="BP50">
        <f t="shared" ref="BP50:BW50" si="22">BP9-BP25</f>
        <v>14.073622</v>
      </c>
      <c r="BQ50">
        <f t="shared" si="22"/>
        <v>15.088022000000002</v>
      </c>
      <c r="BR50">
        <f t="shared" si="22"/>
        <v>13.407671000000001</v>
      </c>
      <c r="BS50">
        <f t="shared" si="22"/>
        <v>9.307539000000002</v>
      </c>
      <c r="BT50">
        <f t="shared" si="22"/>
        <v>18.092443000000003</v>
      </c>
      <c r="BU50">
        <f t="shared" si="22"/>
        <v>16.163285999999999</v>
      </c>
      <c r="BV50">
        <f t="shared" si="22"/>
        <v>15.101135000000006</v>
      </c>
      <c r="BW50">
        <f t="shared" si="22"/>
        <v>13.945329000000001</v>
      </c>
      <c r="BX50" s="64">
        <f>AVERAGE(C50:BW50)</f>
        <v>12.897071054794525</v>
      </c>
      <c r="BY50" s="48"/>
      <c r="BZ50" s="48"/>
    </row>
    <row r="51" spans="1:91" x14ac:dyDescent="0.2">
      <c r="A51" s="54" t="s">
        <v>122</v>
      </c>
      <c r="B51" s="54" t="s">
        <v>122</v>
      </c>
      <c r="C51">
        <f>C14-C30</f>
        <v>-0.15274999999999997</v>
      </c>
      <c r="D51">
        <f t="shared" ref="D51:BO51" si="23">D14-D30</f>
        <v>-3.7345000000000017E-2</v>
      </c>
      <c r="E51">
        <f t="shared" si="23"/>
        <v>-1.0159000000000001E-2</v>
      </c>
      <c r="F51">
        <f t="shared" si="23"/>
        <v>-3.9009000000000016E-2</v>
      </c>
      <c r="G51">
        <f t="shared" si="23"/>
        <v>-5.2927999999999975E-2</v>
      </c>
      <c r="H51">
        <f t="shared" si="23"/>
        <v>-3.5122999999999988E-2</v>
      </c>
      <c r="I51">
        <f t="shared" si="23"/>
        <v>-4.3548000000000031E-2</v>
      </c>
      <c r="J51">
        <f t="shared" si="23"/>
        <v>-0.11101700000000003</v>
      </c>
      <c r="K51">
        <f t="shared" si="23"/>
        <v>-5.9228000000000031E-2</v>
      </c>
      <c r="L51">
        <f t="shared" si="23"/>
        <v>-9.2065999999999981E-2</v>
      </c>
      <c r="M51">
        <f t="shared" si="23"/>
        <v>-8.2446999999999993E-2</v>
      </c>
      <c r="N51">
        <f t="shared" si="23"/>
        <v>-8.3610999999999991E-2</v>
      </c>
      <c r="O51">
        <f t="shared" si="23"/>
        <v>-0.11221600000000004</v>
      </c>
      <c r="P51">
        <f t="shared" si="23"/>
        <v>-0.12184899999999999</v>
      </c>
      <c r="Q51">
        <f t="shared" si="23"/>
        <v>-0.12368000000000001</v>
      </c>
      <c r="R51">
        <f t="shared" si="23"/>
        <v>-7.5683E-2</v>
      </c>
      <c r="S51">
        <f t="shared" si="23"/>
        <v>-4.9872E-2</v>
      </c>
      <c r="T51">
        <f t="shared" si="23"/>
        <v>-9.1736999999999985E-2</v>
      </c>
      <c r="U51">
        <f t="shared" si="23"/>
        <v>-4.6917999999999987E-2</v>
      </c>
      <c r="V51">
        <f t="shared" si="23"/>
        <v>-9.1720000000000024E-2</v>
      </c>
      <c r="W51">
        <f t="shared" si="23"/>
        <v>-7.1913000000000005E-2</v>
      </c>
      <c r="X51">
        <f t="shared" si="23"/>
        <v>-7.0266000000000023E-2</v>
      </c>
      <c r="Y51">
        <f t="shared" si="23"/>
        <v>-0.11091299999999998</v>
      </c>
      <c r="Z51">
        <f t="shared" si="23"/>
        <v>-3.0956000000000011E-2</v>
      </c>
      <c r="AA51">
        <f t="shared" si="23"/>
        <v>-5.291700000000002E-2</v>
      </c>
      <c r="AB51">
        <f t="shared" si="23"/>
        <v>-2.3139999999999994E-2</v>
      </c>
      <c r="AC51">
        <f t="shared" si="23"/>
        <v>-6.9468000000000002E-2</v>
      </c>
      <c r="AD51">
        <f t="shared" si="23"/>
        <v>-3.8786999999999988E-2</v>
      </c>
      <c r="AE51">
        <f t="shared" si="23"/>
        <v>-0.11210200000000003</v>
      </c>
      <c r="AF51">
        <f t="shared" si="23"/>
        <v>-3.4019999999999995E-2</v>
      </c>
      <c r="AG51">
        <f t="shared" si="23"/>
        <v>-6.4451999999999982E-2</v>
      </c>
      <c r="AH51">
        <f t="shared" si="23"/>
        <v>-4.5031999999999989E-2</v>
      </c>
      <c r="AI51">
        <f t="shared" si="23"/>
        <v>-3.207299999999999E-2</v>
      </c>
      <c r="AJ51">
        <f t="shared" si="23"/>
        <v>-2.9755000000000004E-2</v>
      </c>
      <c r="AK51">
        <f t="shared" si="23"/>
        <v>-7.5134000000000006E-2</v>
      </c>
      <c r="AL51">
        <f t="shared" si="23"/>
        <v>-0.11963300000000002</v>
      </c>
      <c r="AM51">
        <f t="shared" si="23"/>
        <v>-8.080699999999999E-2</v>
      </c>
      <c r="AN51">
        <f t="shared" si="23"/>
        <v>-4.7210000000000002E-2</v>
      </c>
      <c r="AO51">
        <f t="shared" si="23"/>
        <v>-2.4276999999999993E-2</v>
      </c>
      <c r="AP51">
        <f t="shared" si="23"/>
        <v>-5.021500000000001E-2</v>
      </c>
      <c r="AQ51">
        <f t="shared" si="23"/>
        <v>-8.201E-2</v>
      </c>
      <c r="AR51">
        <f t="shared" si="23"/>
        <v>8.0599999999999838E-3</v>
      </c>
      <c r="AS51">
        <f t="shared" si="23"/>
        <v>-3.4715999999999997E-2</v>
      </c>
      <c r="AT51">
        <f t="shared" si="23"/>
        <v>-3.8155999999999995E-2</v>
      </c>
      <c r="AU51">
        <f t="shared" si="23"/>
        <v>-8.7263000000000007E-2</v>
      </c>
      <c r="AV51">
        <f t="shared" si="23"/>
        <v>-3.9855000000000002E-2</v>
      </c>
      <c r="AW51">
        <f t="shared" si="23"/>
        <v>-1.1478000000000044E-2</v>
      </c>
      <c r="AX51">
        <f t="shared" si="23"/>
        <v>-0.11645</v>
      </c>
      <c r="AY51">
        <f t="shared" si="23"/>
        <v>-0.13165100000000002</v>
      </c>
      <c r="AZ51">
        <f t="shared" si="23"/>
        <v>-6.7985999999999991E-2</v>
      </c>
      <c r="BA51">
        <f t="shared" si="23"/>
        <v>-6.1595999999999984E-2</v>
      </c>
      <c r="BB51">
        <f t="shared" si="23"/>
        <v>-4.6830999999999984E-2</v>
      </c>
      <c r="BC51">
        <f t="shared" si="23"/>
        <v>-7.8227000000000019E-2</v>
      </c>
      <c r="BD51">
        <f t="shared" si="23"/>
        <v>-3.1555E-2</v>
      </c>
      <c r="BE51">
        <f t="shared" si="23"/>
        <v>-6.8417000000000006E-2</v>
      </c>
      <c r="BF51">
        <f t="shared" si="23"/>
        <v>-3.920700000000002E-2</v>
      </c>
      <c r="BG51">
        <f t="shared" si="23"/>
        <v>-4.3963000000000002E-2</v>
      </c>
      <c r="BH51">
        <f t="shared" si="23"/>
        <v>-5.5835999999999997E-2</v>
      </c>
      <c r="BI51">
        <f t="shared" si="23"/>
        <v>-8.0684999999999979E-2</v>
      </c>
      <c r="BJ51">
        <f t="shared" si="23"/>
        <v>-6.8924999999999986E-2</v>
      </c>
      <c r="BK51">
        <f t="shared" si="23"/>
        <v>-6.6058000000000006E-2</v>
      </c>
      <c r="BL51">
        <f t="shared" si="23"/>
        <v>-5.9333000000000025E-2</v>
      </c>
      <c r="BM51">
        <f t="shared" si="23"/>
        <v>-7.1221000000000007E-2</v>
      </c>
      <c r="BN51">
        <f t="shared" si="23"/>
        <v>-4.471E-2</v>
      </c>
      <c r="BO51">
        <f t="shared" si="23"/>
        <v>-5.5557999999999996E-2</v>
      </c>
      <c r="BP51">
        <f t="shared" ref="BP51:BW51" si="24">BP14-BP30</f>
        <v>-0.10656299999999999</v>
      </c>
      <c r="BQ51">
        <f t="shared" si="24"/>
        <v>-9.7322999999999993E-2</v>
      </c>
      <c r="BR51">
        <f t="shared" si="24"/>
        <v>-8.0728000000000022E-2</v>
      </c>
      <c r="BS51">
        <f t="shared" si="24"/>
        <v>-3.4174999999999983E-2</v>
      </c>
      <c r="BT51">
        <f t="shared" si="24"/>
        <v>-6.0168000000000027E-2</v>
      </c>
      <c r="BU51">
        <f t="shared" si="24"/>
        <v>-7.7804999999999985E-2</v>
      </c>
      <c r="BV51">
        <f t="shared" si="24"/>
        <v>-6.3625000000000015E-2</v>
      </c>
      <c r="BW51">
        <f t="shared" si="24"/>
        <v>-0.116645</v>
      </c>
      <c r="BX51" s="64">
        <f>AVERAGE(C51:BW51)</f>
        <v>-6.5844315068493156E-2</v>
      </c>
      <c r="BY51" s="48"/>
      <c r="BZ51" s="48"/>
    </row>
    <row r="52" spans="1:91" x14ac:dyDescent="0.2">
      <c r="A52" s="54" t="s">
        <v>123</v>
      </c>
      <c r="B52" s="54" t="s">
        <v>123</v>
      </c>
      <c r="C52">
        <f>C60-C66</f>
        <v>0.15421200000000002</v>
      </c>
      <c r="D52">
        <f t="shared" ref="D52:BO52" si="25">D60-D66</f>
        <v>8.0610000000000001E-2</v>
      </c>
      <c r="E52">
        <f t="shared" si="25"/>
        <v>8.9857999999999993E-2</v>
      </c>
      <c r="F52">
        <f t="shared" si="25"/>
        <v>6.8702000000000041E-2</v>
      </c>
      <c r="G52">
        <f t="shared" si="25"/>
        <v>8.8924000000000003E-2</v>
      </c>
      <c r="H52">
        <f t="shared" si="25"/>
        <v>8.2365000000000022E-2</v>
      </c>
      <c r="I52">
        <f t="shared" si="25"/>
        <v>9.6894999999999995E-2</v>
      </c>
      <c r="J52">
        <f t="shared" si="25"/>
        <v>0.16040100000000007</v>
      </c>
      <c r="K52">
        <f t="shared" si="25"/>
        <v>0.13482999999999989</v>
      </c>
      <c r="L52">
        <f t="shared" si="25"/>
        <v>0.13966000000000012</v>
      </c>
      <c r="M52">
        <f t="shared" si="25"/>
        <v>0.11458299999999999</v>
      </c>
      <c r="N52">
        <f t="shared" si="25"/>
        <v>0.157694</v>
      </c>
      <c r="O52">
        <f t="shared" si="25"/>
        <v>0.12656000000000001</v>
      </c>
      <c r="P52">
        <f t="shared" si="25"/>
        <v>9.5151999999999903E-2</v>
      </c>
      <c r="Q52">
        <f t="shared" si="25"/>
        <v>0.11000699999999997</v>
      </c>
      <c r="R52">
        <f t="shared" si="25"/>
        <v>9.5702999999999983E-2</v>
      </c>
      <c r="S52">
        <f t="shared" si="25"/>
        <v>9.2391000000000001E-2</v>
      </c>
      <c r="T52">
        <f t="shared" si="25"/>
        <v>7.5872000000000051E-2</v>
      </c>
      <c r="U52">
        <f t="shared" si="25"/>
        <v>8.0492999999999926E-2</v>
      </c>
      <c r="V52">
        <f t="shared" si="25"/>
        <v>9.0961999999999987E-2</v>
      </c>
      <c r="W52">
        <f t="shared" si="25"/>
        <v>8.7440999999999991E-2</v>
      </c>
      <c r="X52">
        <f t="shared" si="25"/>
        <v>9.672499999999995E-2</v>
      </c>
      <c r="Y52">
        <f t="shared" si="25"/>
        <v>0.11731999999999998</v>
      </c>
      <c r="Z52">
        <f t="shared" si="25"/>
        <v>9.1914000000000051E-2</v>
      </c>
      <c r="AA52">
        <f t="shared" si="25"/>
        <v>0.10259200000000002</v>
      </c>
      <c r="AB52">
        <f t="shared" si="25"/>
        <v>8.6246999999999963E-2</v>
      </c>
      <c r="AC52">
        <f t="shared" si="25"/>
        <v>7.5363999999999987E-2</v>
      </c>
      <c r="AD52">
        <f t="shared" si="25"/>
        <v>0.10030800000000006</v>
      </c>
      <c r="AE52">
        <f t="shared" si="25"/>
        <v>0.16237600000000008</v>
      </c>
      <c r="AF52">
        <f t="shared" si="25"/>
        <v>7.6157999999999948E-2</v>
      </c>
      <c r="AG52">
        <f t="shared" si="25"/>
        <v>7.6529999999999987E-2</v>
      </c>
      <c r="AH52">
        <f t="shared" si="25"/>
        <v>0.10886399999999996</v>
      </c>
      <c r="AI52">
        <f t="shared" si="25"/>
        <v>6.8612999999999147E-2</v>
      </c>
      <c r="AJ52">
        <f t="shared" si="25"/>
        <v>8.0739000000001226E-2</v>
      </c>
      <c r="AK52">
        <f t="shared" si="25"/>
        <v>9.8466999999999971E-2</v>
      </c>
      <c r="AL52">
        <f t="shared" si="25"/>
        <v>0.12292299999999995</v>
      </c>
      <c r="AM52">
        <f t="shared" si="25"/>
        <v>8.7957000000000063E-2</v>
      </c>
      <c r="AN52">
        <f t="shared" si="25"/>
        <v>8.3264999999999922E-2</v>
      </c>
      <c r="AO52">
        <f t="shared" si="25"/>
        <v>0.13190499999999994</v>
      </c>
      <c r="AP52">
        <f t="shared" si="25"/>
        <v>7.9308000000000045E-2</v>
      </c>
      <c r="AQ52">
        <f t="shared" si="25"/>
        <v>0.10926900000000006</v>
      </c>
      <c r="AR52">
        <f t="shared" si="25"/>
        <v>9.7039000000000097E-2</v>
      </c>
      <c r="AS52">
        <f t="shared" si="25"/>
        <v>8.9122000000000035E-2</v>
      </c>
      <c r="AT52">
        <f t="shared" si="25"/>
        <v>8.7565999999999922E-2</v>
      </c>
      <c r="AU52">
        <f t="shared" si="25"/>
        <v>0.10128100000000007</v>
      </c>
      <c r="AV52">
        <f t="shared" si="25"/>
        <v>0.1116109999999999</v>
      </c>
      <c r="AW52">
        <f t="shared" si="25"/>
        <v>0.10783000000000004</v>
      </c>
      <c r="AX52">
        <f t="shared" si="25"/>
        <v>0.11779000000000006</v>
      </c>
      <c r="AY52">
        <f t="shared" si="25"/>
        <v>9.7021999999999942E-2</v>
      </c>
      <c r="AZ52">
        <f t="shared" si="25"/>
        <v>7.2525000000000062E-2</v>
      </c>
      <c r="BA52">
        <f t="shared" si="25"/>
        <v>9.5334999999999948E-2</v>
      </c>
      <c r="BB52">
        <f t="shared" si="25"/>
        <v>8.0017999999995482E-2</v>
      </c>
      <c r="BC52">
        <f t="shared" si="25"/>
        <v>7.9123000000000054E-2</v>
      </c>
      <c r="BD52">
        <f t="shared" si="25"/>
        <v>9.813700000000003E-2</v>
      </c>
      <c r="BE52">
        <f t="shared" si="25"/>
        <v>9.8416999999999977E-2</v>
      </c>
      <c r="BF52">
        <f t="shared" si="25"/>
        <v>0.10711800000000005</v>
      </c>
      <c r="BG52">
        <f t="shared" si="25"/>
        <v>8.7049000000000043E-2</v>
      </c>
      <c r="BH52">
        <f t="shared" si="25"/>
        <v>9.3295000000000017E-2</v>
      </c>
      <c r="BI52">
        <f t="shared" si="25"/>
        <v>0.11973100000000003</v>
      </c>
      <c r="BJ52">
        <f t="shared" si="25"/>
        <v>0.10892599999999997</v>
      </c>
      <c r="BK52">
        <f t="shared" si="25"/>
        <v>0.11562800000000006</v>
      </c>
      <c r="BL52">
        <f t="shared" si="25"/>
        <v>0.108823</v>
      </c>
      <c r="BM52">
        <f t="shared" si="25"/>
        <v>0.11286599999999991</v>
      </c>
      <c r="BN52">
        <f t="shared" si="25"/>
        <v>0.10294800000000004</v>
      </c>
      <c r="BO52">
        <f t="shared" si="25"/>
        <v>0.11502299999999999</v>
      </c>
      <c r="BP52">
        <f t="shared" ref="BP52:BW52" si="26">BP60-BP66</f>
        <v>0.12178800000000001</v>
      </c>
      <c r="BQ52">
        <f t="shared" si="26"/>
        <v>0.11456999999999995</v>
      </c>
      <c r="BR52">
        <f t="shared" si="26"/>
        <v>0.11816800000000005</v>
      </c>
      <c r="BS52">
        <f t="shared" si="26"/>
        <v>9.4259999999999955E-2</v>
      </c>
      <c r="BT52">
        <f t="shared" si="26"/>
        <v>0.12442700000000007</v>
      </c>
      <c r="BU52">
        <f t="shared" si="26"/>
        <v>0.11067800000000005</v>
      </c>
      <c r="BV52">
        <f t="shared" si="26"/>
        <v>0.12179200000000001</v>
      </c>
      <c r="BW52">
        <f t="shared" si="26"/>
        <v>0.10934099999999991</v>
      </c>
      <c r="BX52" s="64">
        <f>AVERAGE(C52:BW52)</f>
        <v>0.10273158904109583</v>
      </c>
      <c r="BY52" s="48"/>
      <c r="BZ52" s="48"/>
    </row>
    <row r="53" spans="1:91" x14ac:dyDescent="0.2">
      <c r="A53" s="54"/>
      <c r="B53" s="54"/>
      <c r="BX53" s="64"/>
      <c r="BY53" s="48"/>
      <c r="BZ53" s="48"/>
    </row>
    <row r="54" spans="1:91" ht="17" thickBot="1" x14ac:dyDescent="0.25">
      <c r="BT54" s="65"/>
    </row>
    <row r="55" spans="1:91" ht="18" customHeight="1" thickBot="1" x14ac:dyDescent="0.3">
      <c r="A55" s="1" t="s">
        <v>0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66"/>
      <c r="CM55" s="67"/>
    </row>
    <row r="56" spans="1:91" x14ac:dyDescent="0.2">
      <c r="A56" s="68" t="s">
        <v>1</v>
      </c>
      <c r="B56" s="68"/>
      <c r="C56" s="68" t="s">
        <v>2</v>
      </c>
      <c r="D56" s="68" t="s">
        <v>3</v>
      </c>
      <c r="E56" s="68" t="s">
        <v>4</v>
      </c>
      <c r="F56" s="68" t="s">
        <v>5</v>
      </c>
      <c r="G56" s="68" t="s">
        <v>6</v>
      </c>
      <c r="H56" s="68" t="s">
        <v>7</v>
      </c>
      <c r="I56" s="68" t="s">
        <v>8</v>
      </c>
      <c r="J56" s="68" t="s">
        <v>9</v>
      </c>
      <c r="K56" s="68" t="s">
        <v>10</v>
      </c>
      <c r="L56" s="68" t="s">
        <v>11</v>
      </c>
      <c r="M56" s="68" t="s">
        <v>12</v>
      </c>
      <c r="N56" s="68" t="s">
        <v>13</v>
      </c>
      <c r="O56" s="68" t="s">
        <v>14</v>
      </c>
      <c r="P56" s="68" t="s">
        <v>15</v>
      </c>
      <c r="Q56" s="68" t="s">
        <v>16</v>
      </c>
      <c r="R56" s="68" t="s">
        <v>17</v>
      </c>
      <c r="S56" s="68" t="s">
        <v>18</v>
      </c>
      <c r="T56" s="68" t="s">
        <v>19</v>
      </c>
      <c r="U56" s="68" t="s">
        <v>20</v>
      </c>
      <c r="V56" s="68" t="s">
        <v>21</v>
      </c>
      <c r="W56" s="68" t="s">
        <v>22</v>
      </c>
      <c r="X56" s="68" t="s">
        <v>23</v>
      </c>
      <c r="Y56" s="68" t="s">
        <v>24</v>
      </c>
      <c r="Z56" s="68" t="s">
        <v>25</v>
      </c>
      <c r="AA56" s="68" t="s">
        <v>26</v>
      </c>
      <c r="AB56" s="68" t="s">
        <v>27</v>
      </c>
      <c r="AC56" s="68" t="s">
        <v>28</v>
      </c>
      <c r="AD56" s="68" t="s">
        <v>29</v>
      </c>
      <c r="AE56" s="68" t="s">
        <v>30</v>
      </c>
      <c r="AF56" s="68" t="s">
        <v>31</v>
      </c>
      <c r="AG56" s="68" t="s">
        <v>32</v>
      </c>
      <c r="AH56" s="68" t="s">
        <v>33</v>
      </c>
      <c r="AI56" s="68" t="s">
        <v>34</v>
      </c>
      <c r="AJ56" s="68" t="s">
        <v>35</v>
      </c>
      <c r="AK56" s="68" t="s">
        <v>36</v>
      </c>
      <c r="AL56" s="68" t="s">
        <v>37</v>
      </c>
      <c r="AM56" s="68" t="s">
        <v>38</v>
      </c>
      <c r="AN56" s="68" t="s">
        <v>39</v>
      </c>
      <c r="AO56" s="68" t="s">
        <v>40</v>
      </c>
      <c r="AP56" s="68" t="s">
        <v>41</v>
      </c>
      <c r="AQ56" s="68" t="s">
        <v>42</v>
      </c>
      <c r="AR56" s="68" t="s">
        <v>43</v>
      </c>
      <c r="AS56" s="68" t="s">
        <v>44</v>
      </c>
      <c r="AT56" s="68" t="s">
        <v>45</v>
      </c>
      <c r="AU56" s="68" t="s">
        <v>46</v>
      </c>
      <c r="AV56" s="68" t="s">
        <v>47</v>
      </c>
      <c r="AW56" s="68" t="s">
        <v>48</v>
      </c>
      <c r="AX56" s="68" t="s">
        <v>49</v>
      </c>
      <c r="AY56" s="68" t="s">
        <v>50</v>
      </c>
      <c r="AZ56" s="68" t="s">
        <v>51</v>
      </c>
      <c r="BA56" s="68" t="s">
        <v>52</v>
      </c>
      <c r="BB56" s="68" t="s">
        <v>53</v>
      </c>
      <c r="BC56" s="68" t="s">
        <v>54</v>
      </c>
      <c r="BD56" s="68" t="s">
        <v>55</v>
      </c>
      <c r="BE56" s="68" t="s">
        <v>56</v>
      </c>
      <c r="BF56" s="68" t="s">
        <v>57</v>
      </c>
      <c r="BG56" s="68" t="s">
        <v>58</v>
      </c>
      <c r="BH56" s="68" t="s">
        <v>59</v>
      </c>
      <c r="BI56" s="68" t="s">
        <v>60</v>
      </c>
      <c r="BJ56" s="68" t="s">
        <v>61</v>
      </c>
      <c r="BK56" s="68" t="s">
        <v>62</v>
      </c>
      <c r="BL56" s="68" t="s">
        <v>63</v>
      </c>
      <c r="BM56" s="68" t="s">
        <v>64</v>
      </c>
      <c r="BN56" s="68" t="s">
        <v>65</v>
      </c>
      <c r="BO56" s="68" t="s">
        <v>66</v>
      </c>
      <c r="BP56" s="68" t="s">
        <v>67</v>
      </c>
      <c r="BQ56" s="68" t="s">
        <v>68</v>
      </c>
      <c r="BR56" s="68" t="s">
        <v>69</v>
      </c>
      <c r="BS56" s="68" t="s">
        <v>70</v>
      </c>
      <c r="BT56" s="68" t="s">
        <v>71</v>
      </c>
      <c r="BU56" s="68" t="s">
        <v>72</v>
      </c>
      <c r="BV56" s="68" t="s">
        <v>73</v>
      </c>
      <c r="BW56" s="68" t="s">
        <v>74</v>
      </c>
      <c r="BX56" s="8" t="s">
        <v>75</v>
      </c>
      <c r="CM56" s="69" t="s">
        <v>76</v>
      </c>
    </row>
    <row r="57" spans="1:91" x14ac:dyDescent="0.2">
      <c r="A57" s="8" t="s">
        <v>124</v>
      </c>
      <c r="B57" s="12"/>
      <c r="C57" s="12">
        <v>1147.790094</v>
      </c>
      <c r="D57" s="12">
        <v>520.51309900000001</v>
      </c>
      <c r="E57" s="12">
        <v>600.26748499999997</v>
      </c>
      <c r="F57" s="12">
        <v>563.81511399999999</v>
      </c>
      <c r="G57" s="12">
        <v>712.65145299999995</v>
      </c>
      <c r="H57" s="12">
        <v>612.66265099999998</v>
      </c>
      <c r="I57" s="12">
        <v>607.74588600000004</v>
      </c>
      <c r="J57" s="12">
        <v>1017.140638</v>
      </c>
      <c r="K57" s="12">
        <v>914.90928499999995</v>
      </c>
      <c r="L57" s="12">
        <v>952.185565</v>
      </c>
      <c r="M57" s="12">
        <v>885.97913000000005</v>
      </c>
      <c r="N57" s="12">
        <v>1213.364955</v>
      </c>
      <c r="O57" s="12">
        <v>891.43218400000001</v>
      </c>
      <c r="P57" s="12">
        <v>814.610905</v>
      </c>
      <c r="Q57" s="12">
        <v>839.81253200000003</v>
      </c>
      <c r="R57" s="12">
        <v>685.46330399999999</v>
      </c>
      <c r="S57" s="12">
        <v>721.086904</v>
      </c>
      <c r="T57" s="12">
        <v>607.41789800000004</v>
      </c>
      <c r="U57" s="12">
        <v>672.177009</v>
      </c>
      <c r="V57" s="12">
        <v>667.30868099999998</v>
      </c>
      <c r="W57" s="12">
        <v>703.69853000000001</v>
      </c>
      <c r="X57" s="12">
        <v>706.00720899999999</v>
      </c>
      <c r="Y57" s="12">
        <v>955.88208799999995</v>
      </c>
      <c r="Z57" s="12">
        <v>766.40106300000002</v>
      </c>
      <c r="AA57" s="12">
        <v>827.82421099999999</v>
      </c>
      <c r="AB57" s="12">
        <v>809.34379100000001</v>
      </c>
      <c r="AC57" s="12">
        <v>648.95379200000002</v>
      </c>
      <c r="AD57" s="12">
        <v>824.78836999999999</v>
      </c>
      <c r="AE57" s="12">
        <v>1084.716672</v>
      </c>
      <c r="AF57" s="12">
        <v>611.39124400000003</v>
      </c>
      <c r="AG57" s="12">
        <v>702.601675</v>
      </c>
      <c r="AH57" s="12">
        <v>762.03546400000005</v>
      </c>
      <c r="AI57" s="12">
        <v>777.20131800000001</v>
      </c>
      <c r="AJ57" s="12">
        <v>734.99920899999995</v>
      </c>
      <c r="AK57" s="12">
        <v>736.24005199999999</v>
      </c>
      <c r="AL57" s="12">
        <v>952.48268599999994</v>
      </c>
      <c r="AM57" s="12">
        <v>756.44035699999995</v>
      </c>
      <c r="AN57" s="12">
        <v>690.46202700000003</v>
      </c>
      <c r="AO57" s="12">
        <v>1090.895405</v>
      </c>
      <c r="AP57" s="12">
        <v>682.61073699999997</v>
      </c>
      <c r="AQ57" s="12">
        <v>859.43103299999996</v>
      </c>
      <c r="AR57" s="12">
        <v>869.23426300000006</v>
      </c>
      <c r="AS57" s="12">
        <v>669.28736200000003</v>
      </c>
      <c r="AT57" s="12">
        <v>716.691194</v>
      </c>
      <c r="AU57" s="12">
        <v>799.67172600000004</v>
      </c>
      <c r="AV57" s="12">
        <v>872.44757900000002</v>
      </c>
      <c r="AW57" s="12">
        <v>775.23902899999996</v>
      </c>
      <c r="AX57" s="12">
        <v>811.91942900000004</v>
      </c>
      <c r="AY57" s="12">
        <v>875.32284900000002</v>
      </c>
      <c r="AZ57" s="12">
        <v>774.89439900000002</v>
      </c>
      <c r="BA57" s="12">
        <v>870.79262100000005</v>
      </c>
      <c r="BB57" s="12">
        <v>641.75926400000003</v>
      </c>
      <c r="BC57" s="12">
        <v>633.12863400000003</v>
      </c>
      <c r="BD57" s="12">
        <v>697.68573900000001</v>
      </c>
      <c r="BE57" s="12">
        <v>666.46831699999996</v>
      </c>
      <c r="BF57" s="12">
        <v>722.44262300000003</v>
      </c>
      <c r="BG57" s="12">
        <v>683.30468199999996</v>
      </c>
      <c r="BH57" s="12">
        <v>699.56596400000001</v>
      </c>
      <c r="BI57" s="12">
        <v>802.97109699999999</v>
      </c>
      <c r="BJ57" s="12">
        <v>777.39131199999997</v>
      </c>
      <c r="BK57" s="12">
        <v>777.77410199999997</v>
      </c>
      <c r="BL57" s="12">
        <v>854.69182599999999</v>
      </c>
      <c r="BM57" s="12">
        <v>901.757294</v>
      </c>
      <c r="BN57" s="12">
        <v>847.1893</v>
      </c>
      <c r="BO57" s="12">
        <v>881.32327899999996</v>
      </c>
      <c r="BP57" s="12">
        <v>852.40013899999997</v>
      </c>
      <c r="BQ57" s="12">
        <v>798.86644799999999</v>
      </c>
      <c r="BR57" s="12">
        <v>834.57662500000004</v>
      </c>
      <c r="BS57" s="12">
        <v>714.15915500000006</v>
      </c>
      <c r="BT57" s="12">
        <v>964.38096800000005</v>
      </c>
      <c r="BU57" s="12">
        <v>879.74734000000001</v>
      </c>
      <c r="BV57" s="12">
        <v>900.18490699999995</v>
      </c>
      <c r="BW57" s="12">
        <v>875.78250800000001</v>
      </c>
      <c r="BX57" s="70">
        <f>AVERAGE(C57:BW57)</f>
        <v>791.44922847945202</v>
      </c>
      <c r="BY57" s="71"/>
      <c r="CM57" s="15">
        <v>1126.9250890000001</v>
      </c>
    </row>
    <row r="58" spans="1:91" ht="15" customHeight="1" x14ac:dyDescent="0.2">
      <c r="A58" s="8" t="s">
        <v>125</v>
      </c>
      <c r="B58" s="12" t="s">
        <v>87</v>
      </c>
      <c r="C58" s="12">
        <v>69.412409999999994</v>
      </c>
      <c r="D58" s="12">
        <v>32.642001999999998</v>
      </c>
      <c r="E58" s="12">
        <v>38.634113999999997</v>
      </c>
      <c r="F58" s="12">
        <v>38.186360000000001</v>
      </c>
      <c r="G58" s="12">
        <v>46.078330000000001</v>
      </c>
      <c r="H58" s="12">
        <v>37.219247000000003</v>
      </c>
      <c r="I58" s="12">
        <v>37.637036999999999</v>
      </c>
      <c r="J58" s="12">
        <v>58.404009000000002</v>
      </c>
      <c r="K58" s="12">
        <v>57.345277000000003</v>
      </c>
      <c r="L58" s="12">
        <v>56.143982999999999</v>
      </c>
      <c r="M58" s="12">
        <v>58.033110999999998</v>
      </c>
      <c r="N58" s="12">
        <v>71.453992999999997</v>
      </c>
      <c r="O58" s="12">
        <v>55.261606999999998</v>
      </c>
      <c r="P58" s="12">
        <v>46.843103999999997</v>
      </c>
      <c r="Q58" s="12">
        <v>61.496043</v>
      </c>
      <c r="R58" s="12">
        <v>47.353599000000003</v>
      </c>
      <c r="S58" s="12">
        <v>49.944789</v>
      </c>
      <c r="T58" s="12">
        <v>41.522568</v>
      </c>
      <c r="U58" s="12">
        <v>43.086266000000002</v>
      </c>
      <c r="V58" s="12">
        <v>43.055089000000002</v>
      </c>
      <c r="W58" s="12">
        <v>49.568471000000002</v>
      </c>
      <c r="X58" s="12">
        <v>42.784681999999997</v>
      </c>
      <c r="Y58" s="12">
        <v>65.049087</v>
      </c>
      <c r="Z58" s="12">
        <v>47.036987000000003</v>
      </c>
      <c r="AA58" s="12">
        <v>54.757784000000001</v>
      </c>
      <c r="AB58" s="12">
        <v>51.770637999999998</v>
      </c>
      <c r="AC58" s="12">
        <v>38.869351999999999</v>
      </c>
      <c r="AD58" s="12">
        <v>51.803544000000002</v>
      </c>
      <c r="AE58" s="12">
        <v>71.170688999999996</v>
      </c>
      <c r="AF58" s="12">
        <v>39.232534000000001</v>
      </c>
      <c r="AG58" s="12">
        <v>49.623296000000003</v>
      </c>
      <c r="AH58" s="12">
        <v>49.279491999999998</v>
      </c>
      <c r="AI58" s="12">
        <v>52.291327000000003</v>
      </c>
      <c r="AJ58" s="12">
        <v>44.373793999999997</v>
      </c>
      <c r="AK58" s="12">
        <v>49.266463000000002</v>
      </c>
      <c r="AL58" s="12">
        <v>56.484051999999998</v>
      </c>
      <c r="AM58" s="12">
        <v>49.198630000000001</v>
      </c>
      <c r="AN58" s="12">
        <v>48.583312999999997</v>
      </c>
      <c r="AO58" s="12">
        <v>66.069874999999996</v>
      </c>
      <c r="AP58" s="12">
        <v>42.895772000000001</v>
      </c>
      <c r="AQ58" s="12">
        <v>58.669699999999999</v>
      </c>
      <c r="AR58" s="12">
        <v>53.440964000000001</v>
      </c>
      <c r="AS58" s="12">
        <v>43.201604000000003</v>
      </c>
      <c r="AT58" s="12">
        <v>48.063560000000003</v>
      </c>
      <c r="AU58" s="12">
        <v>53.053722</v>
      </c>
      <c r="AV58" s="12">
        <v>57.962612999999997</v>
      </c>
      <c r="AW58" s="12">
        <v>27.889606000000001</v>
      </c>
      <c r="AX58" s="12">
        <v>49.948965999999999</v>
      </c>
      <c r="AY58" s="12">
        <v>60.063287000000003</v>
      </c>
      <c r="AZ58" s="12">
        <v>54.346094000000001</v>
      </c>
      <c r="BA58" s="12">
        <v>53.730061999999997</v>
      </c>
      <c r="BB58" s="12">
        <v>41.167529999999999</v>
      </c>
      <c r="BC58" s="12">
        <v>44.015270999999998</v>
      </c>
      <c r="BD58" s="12">
        <v>45.518701</v>
      </c>
      <c r="BE58" s="12">
        <v>42.282120999999997</v>
      </c>
      <c r="BF58" s="12">
        <v>43.413620999999999</v>
      </c>
      <c r="BG58" s="12">
        <v>44.402721</v>
      </c>
      <c r="BH58" s="12">
        <v>42.543599</v>
      </c>
      <c r="BI58" s="12">
        <v>54.872112000000001</v>
      </c>
      <c r="BJ58" s="12">
        <v>50.563744999999997</v>
      </c>
      <c r="BK58" s="12">
        <v>51.591628</v>
      </c>
      <c r="BL58" s="12">
        <v>57.128366</v>
      </c>
      <c r="BM58" s="12">
        <v>57.831432</v>
      </c>
      <c r="BN58" s="12">
        <v>56.091833999999999</v>
      </c>
      <c r="BO58" s="12">
        <v>59.208300999999999</v>
      </c>
      <c r="BP58" s="12">
        <v>52.585932999999997</v>
      </c>
      <c r="BQ58" s="12">
        <v>53.223083000000003</v>
      </c>
      <c r="BR58" s="12">
        <v>50.983432999999998</v>
      </c>
      <c r="BS58" s="12">
        <v>40.597053000000002</v>
      </c>
      <c r="BT58" s="12">
        <v>67.302982</v>
      </c>
      <c r="BU58" s="12">
        <v>61.549292999999999</v>
      </c>
      <c r="BV58" s="12">
        <v>55.314238000000003</v>
      </c>
      <c r="BW58" s="12">
        <v>56.621558999999998</v>
      </c>
      <c r="BX58" s="70">
        <f>AVERAGE(C58:BW58)</f>
        <v>50.671800739726038</v>
      </c>
      <c r="CM58" s="15">
        <v>74.302325999999994</v>
      </c>
    </row>
    <row r="59" spans="1:91" x14ac:dyDescent="0.2">
      <c r="A59" s="8" t="s">
        <v>126</v>
      </c>
      <c r="B59" s="12"/>
      <c r="C59" s="12">
        <f t="shared" ref="C59:BN59" si="27">C3-C60</f>
        <v>1217.2025039999999</v>
      </c>
      <c r="D59" s="12">
        <f t="shared" si="27"/>
        <v>553.15510100000006</v>
      </c>
      <c r="E59" s="12">
        <f t="shared" si="27"/>
        <v>638.90159900000003</v>
      </c>
      <c r="F59" s="12">
        <f t="shared" si="27"/>
        <v>602.00147400000003</v>
      </c>
      <c r="G59" s="12">
        <f t="shared" si="27"/>
        <v>758.729783</v>
      </c>
      <c r="H59" s="12">
        <f t="shared" si="27"/>
        <v>649.88189799999998</v>
      </c>
      <c r="I59" s="12">
        <f t="shared" si="27"/>
        <v>645.38292300000001</v>
      </c>
      <c r="J59" s="12">
        <f t="shared" si="27"/>
        <v>1075.5446469999999</v>
      </c>
      <c r="K59" s="12">
        <f t="shared" si="27"/>
        <v>972.25456200000008</v>
      </c>
      <c r="L59" s="12">
        <f t="shared" si="27"/>
        <v>1008.3295479999999</v>
      </c>
      <c r="M59" s="12">
        <f t="shared" si="27"/>
        <v>944.01224100000002</v>
      </c>
      <c r="N59" s="12">
        <f t="shared" si="27"/>
        <v>1284.8189479999999</v>
      </c>
      <c r="O59" s="12">
        <f t="shared" si="27"/>
        <v>946.69379100000003</v>
      </c>
      <c r="P59" s="12">
        <f t="shared" si="27"/>
        <v>861.45400900000004</v>
      </c>
      <c r="Q59" s="12">
        <f t="shared" si="27"/>
        <v>901.30857500000002</v>
      </c>
      <c r="R59" s="12">
        <f t="shared" si="27"/>
        <v>732.81690300000002</v>
      </c>
      <c r="S59" s="12">
        <f t="shared" si="27"/>
        <v>771.03169300000002</v>
      </c>
      <c r="T59" s="12">
        <f t="shared" si="27"/>
        <v>648.94046600000001</v>
      </c>
      <c r="U59" s="12">
        <f t="shared" si="27"/>
        <v>715.26327500000002</v>
      </c>
      <c r="V59" s="12">
        <f t="shared" si="27"/>
        <v>710.36377000000005</v>
      </c>
      <c r="W59" s="12">
        <f t="shared" si="27"/>
        <v>753.26700100000005</v>
      </c>
      <c r="X59" s="12">
        <f t="shared" si="27"/>
        <v>748.79189099999996</v>
      </c>
      <c r="Y59" s="12">
        <f t="shared" si="27"/>
        <v>1020.9311750000001</v>
      </c>
      <c r="Z59" s="12">
        <f t="shared" si="27"/>
        <v>813.43805000000009</v>
      </c>
      <c r="AA59" s="12">
        <f t="shared" si="27"/>
        <v>882.58199500000001</v>
      </c>
      <c r="AB59" s="12">
        <f t="shared" si="27"/>
        <v>861.11442900000009</v>
      </c>
      <c r="AC59" s="12">
        <f t="shared" si="27"/>
        <v>687.82314399999996</v>
      </c>
      <c r="AD59" s="12">
        <f t="shared" si="27"/>
        <v>876.59191400000009</v>
      </c>
      <c r="AE59" s="12">
        <f t="shared" si="27"/>
        <v>1155.8873610000001</v>
      </c>
      <c r="AF59" s="12">
        <f t="shared" si="27"/>
        <v>650.62377800000002</v>
      </c>
      <c r="AG59" s="12">
        <f t="shared" si="27"/>
        <v>752.22497099999998</v>
      </c>
      <c r="AH59" s="12">
        <f t="shared" si="27"/>
        <v>811.31495600000005</v>
      </c>
      <c r="AI59" s="12">
        <f t="shared" si="27"/>
        <v>829.49264500000004</v>
      </c>
      <c r="AJ59" s="12">
        <f t="shared" si="27"/>
        <v>779.37300299999993</v>
      </c>
      <c r="AK59" s="12">
        <f t="shared" si="27"/>
        <v>785.50651500000004</v>
      </c>
      <c r="AL59" s="12">
        <f t="shared" si="27"/>
        <v>1008.966738</v>
      </c>
      <c r="AM59" s="12">
        <f t="shared" si="27"/>
        <v>805.63898699999993</v>
      </c>
      <c r="AN59" s="12">
        <f t="shared" si="27"/>
        <v>739.04534000000001</v>
      </c>
      <c r="AO59" s="12">
        <f t="shared" si="27"/>
        <v>1156.9652799999999</v>
      </c>
      <c r="AP59" s="12">
        <f t="shared" si="27"/>
        <v>725.50650899999994</v>
      </c>
      <c r="AQ59" s="12">
        <f t="shared" si="27"/>
        <v>918.10073299999999</v>
      </c>
      <c r="AR59" s="12">
        <f t="shared" si="27"/>
        <v>922.67522699999995</v>
      </c>
      <c r="AS59" s="12">
        <f t="shared" si="27"/>
        <v>712.488966</v>
      </c>
      <c r="AT59" s="12">
        <f t="shared" si="27"/>
        <v>764.75475400000005</v>
      </c>
      <c r="AU59" s="12">
        <f t="shared" si="27"/>
        <v>852.72544799999991</v>
      </c>
      <c r="AV59" s="12">
        <f t="shared" si="27"/>
        <v>930.41019199999994</v>
      </c>
      <c r="AW59" s="12">
        <f t="shared" si="27"/>
        <v>803.12863500000003</v>
      </c>
      <c r="AX59" s="12">
        <f t="shared" si="27"/>
        <v>861.86839500000008</v>
      </c>
      <c r="AY59" s="12">
        <f t="shared" si="27"/>
        <v>935.38613600000008</v>
      </c>
      <c r="AZ59" s="12">
        <f t="shared" si="27"/>
        <v>829.24049300000001</v>
      </c>
      <c r="BA59" s="12">
        <f t="shared" si="27"/>
        <v>924.52268300000003</v>
      </c>
      <c r="BB59" s="12">
        <f t="shared" si="27"/>
        <v>682.92679399999997</v>
      </c>
      <c r="BC59" s="12">
        <f t="shared" si="27"/>
        <v>677.14390500000002</v>
      </c>
      <c r="BD59" s="12">
        <f t="shared" si="27"/>
        <v>743.20443999999998</v>
      </c>
      <c r="BE59" s="12">
        <f t="shared" si="27"/>
        <v>708.75043800000003</v>
      </c>
      <c r="BF59" s="12">
        <f t="shared" si="27"/>
        <v>765.85624400000006</v>
      </c>
      <c r="BG59" s="12">
        <f t="shared" si="27"/>
        <v>727.707403</v>
      </c>
      <c r="BH59" s="12">
        <f t="shared" si="27"/>
        <v>742.10956299999998</v>
      </c>
      <c r="BI59" s="12">
        <f t="shared" si="27"/>
        <v>857.843209</v>
      </c>
      <c r="BJ59" s="12">
        <f t="shared" si="27"/>
        <v>827.95505700000001</v>
      </c>
      <c r="BK59" s="12">
        <f t="shared" si="27"/>
        <v>829.36572999999999</v>
      </c>
      <c r="BL59" s="12">
        <f t="shared" si="27"/>
        <v>911.82019200000002</v>
      </c>
      <c r="BM59" s="12">
        <f t="shared" si="27"/>
        <v>959.58872599999995</v>
      </c>
      <c r="BN59" s="12">
        <f t="shared" si="27"/>
        <v>903.28113399999995</v>
      </c>
      <c r="BO59" s="12">
        <f t="shared" ref="BO59:BW59" si="28">BO3-BO60</f>
        <v>940.53158000000008</v>
      </c>
      <c r="BP59" s="12">
        <f t="shared" si="28"/>
        <v>904.98607199999992</v>
      </c>
      <c r="BQ59" s="12">
        <f t="shared" si="28"/>
        <v>852.08953099999997</v>
      </c>
      <c r="BR59" s="12">
        <f t="shared" si="28"/>
        <v>885.56005800000003</v>
      </c>
      <c r="BS59" s="12">
        <f t="shared" si="28"/>
        <v>754.75620800000002</v>
      </c>
      <c r="BT59" s="12">
        <f t="shared" si="28"/>
        <v>1031.6839499999999</v>
      </c>
      <c r="BU59" s="12">
        <f t="shared" si="28"/>
        <v>941.29663300000004</v>
      </c>
      <c r="BV59" s="12">
        <f t="shared" si="28"/>
        <v>955.499145</v>
      </c>
      <c r="BW59" s="12">
        <f t="shared" si="28"/>
        <v>932.40406700000005</v>
      </c>
      <c r="BX59" s="70">
        <f>AVERAGE(C59:BW59)</f>
        <v>842.12102921917813</v>
      </c>
      <c r="CM59" s="15">
        <f>CM3-CM60</f>
        <v>1201.2274150000001</v>
      </c>
    </row>
    <row r="60" spans="1:91" ht="15" customHeight="1" thickBot="1" x14ac:dyDescent="0.25">
      <c r="A60" s="72" t="s">
        <v>127</v>
      </c>
      <c r="B60" s="73"/>
      <c r="C60" s="73">
        <v>0.78403</v>
      </c>
      <c r="D60" s="73">
        <v>0.105865</v>
      </c>
      <c r="E60" s="73">
        <v>0.12411899999999999</v>
      </c>
      <c r="F60" s="73">
        <v>0.830758</v>
      </c>
      <c r="G60" s="73">
        <v>0.92675300000000005</v>
      </c>
      <c r="H60" s="73">
        <v>0.53643600000000002</v>
      </c>
      <c r="I60" s="73">
        <v>0.124069</v>
      </c>
      <c r="J60" s="73">
        <v>0.53337900000000005</v>
      </c>
      <c r="K60" s="73">
        <v>1.0680959999999999</v>
      </c>
      <c r="L60" s="73">
        <v>1.6315580000000001</v>
      </c>
      <c r="M60" s="73">
        <v>0.70336100000000001</v>
      </c>
      <c r="N60" s="73">
        <v>0.97485200000000005</v>
      </c>
      <c r="O60" s="73">
        <v>0.84802100000000002</v>
      </c>
      <c r="P60" s="73">
        <v>1.2536069999999999</v>
      </c>
      <c r="Q60" s="73">
        <v>0.87897700000000001</v>
      </c>
      <c r="R60" s="73">
        <v>0.76265700000000003</v>
      </c>
      <c r="S60" s="73">
        <v>0.82749099999999998</v>
      </c>
      <c r="T60" s="73">
        <v>0.68483000000000005</v>
      </c>
      <c r="U60" s="73">
        <v>0.87334299999999998</v>
      </c>
      <c r="V60" s="73">
        <v>0.67557999999999996</v>
      </c>
      <c r="W60" s="73">
        <v>0.56655299999999997</v>
      </c>
      <c r="X60" s="73">
        <v>0.56316299999999997</v>
      </c>
      <c r="Y60" s="73">
        <v>0.76581299999999997</v>
      </c>
      <c r="Z60" s="73">
        <v>1.283156</v>
      </c>
      <c r="AA60" s="73">
        <v>1.463033</v>
      </c>
      <c r="AB60" s="73">
        <v>1.5346489999999999</v>
      </c>
      <c r="AC60" s="73">
        <v>0.48882999999999999</v>
      </c>
      <c r="AD60" s="73">
        <v>0.63501600000000002</v>
      </c>
      <c r="AE60" s="73">
        <v>0.79389900000000002</v>
      </c>
      <c r="AF60" s="73">
        <v>1.1031979999999999</v>
      </c>
      <c r="AG60" s="73">
        <v>1.263727</v>
      </c>
      <c r="AH60" s="73">
        <v>0.80215599999999998</v>
      </c>
      <c r="AI60" s="73">
        <v>82.749236999999994</v>
      </c>
      <c r="AJ60" s="73">
        <v>35.386423000000001</v>
      </c>
      <c r="AK60" s="73">
        <v>0.63076100000000002</v>
      </c>
      <c r="AL60" s="73">
        <v>0.60109199999999996</v>
      </c>
      <c r="AM60" s="73">
        <v>1.2877130000000001</v>
      </c>
      <c r="AN60" s="73">
        <v>0.85542399999999996</v>
      </c>
      <c r="AO60" s="73">
        <v>1.5237579999999999</v>
      </c>
      <c r="AP60" s="73">
        <v>0.973603</v>
      </c>
      <c r="AQ60" s="73">
        <v>1.224065</v>
      </c>
      <c r="AR60" s="73">
        <v>1.278405</v>
      </c>
      <c r="AS60" s="73">
        <v>0.727576</v>
      </c>
      <c r="AT60" s="73">
        <v>0.84824999999999995</v>
      </c>
      <c r="AU60" s="73">
        <v>0.81735000000000002</v>
      </c>
      <c r="AV60" s="73">
        <v>1.0694239999999999</v>
      </c>
      <c r="AW60" s="73">
        <v>0.58749700000000005</v>
      </c>
      <c r="AX60" s="73">
        <v>0.88036700000000001</v>
      </c>
      <c r="AY60" s="73">
        <v>0.853182</v>
      </c>
      <c r="AZ60" s="73">
        <v>0.76420100000000002</v>
      </c>
      <c r="BA60" s="73">
        <v>1.872987</v>
      </c>
      <c r="BB60" s="73">
        <v>143.36185399999999</v>
      </c>
      <c r="BC60" s="73">
        <v>0.65816300000000005</v>
      </c>
      <c r="BD60" s="73">
        <v>0.85921800000000004</v>
      </c>
      <c r="BE60" s="73">
        <v>0.76536599999999999</v>
      </c>
      <c r="BF60" s="73">
        <v>0.888432</v>
      </c>
      <c r="BG60" s="73">
        <v>0.76345700000000005</v>
      </c>
      <c r="BH60" s="73">
        <v>0.784775</v>
      </c>
      <c r="BI60" s="73">
        <v>0.84871700000000005</v>
      </c>
      <c r="BJ60" s="73">
        <v>0.80195899999999998</v>
      </c>
      <c r="BK60" s="73">
        <v>1.0792360000000001</v>
      </c>
      <c r="BL60" s="73">
        <v>0.99094400000000005</v>
      </c>
      <c r="BM60" s="73">
        <v>0.96220799999999995</v>
      </c>
      <c r="BN60" s="73">
        <v>1.0006980000000001</v>
      </c>
      <c r="BO60" s="73">
        <v>1.1055159999999999</v>
      </c>
      <c r="BP60" s="73">
        <v>0.97476200000000002</v>
      </c>
      <c r="BQ60" s="73">
        <v>0.85003899999999999</v>
      </c>
      <c r="BR60" s="73">
        <v>0.85144600000000004</v>
      </c>
      <c r="BS60" s="73">
        <v>0.56551799999999997</v>
      </c>
      <c r="BT60" s="73">
        <v>0.94341600000000003</v>
      </c>
      <c r="BU60" s="73">
        <v>0.83709900000000004</v>
      </c>
      <c r="BV60" s="73">
        <v>0.74989899999999998</v>
      </c>
      <c r="BW60" s="73">
        <v>0.61694499999999997</v>
      </c>
      <c r="BX60" s="70">
        <f>AVERAGE(C60:BW60)</f>
        <v>4.4192048904109598</v>
      </c>
      <c r="CM60" s="74">
        <v>1.418471</v>
      </c>
    </row>
    <row r="61" spans="1:91" ht="20" customHeight="1" thickBot="1" x14ac:dyDescent="0.3">
      <c r="A61" s="1" t="s">
        <v>96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66"/>
      <c r="BX61" s="75"/>
      <c r="CM61" s="67"/>
    </row>
    <row r="62" spans="1:91" x14ac:dyDescent="0.2">
      <c r="A62" s="76" t="s">
        <v>1</v>
      </c>
      <c r="B62" s="68"/>
      <c r="C62" s="68" t="s">
        <v>2</v>
      </c>
      <c r="D62" s="68" t="s">
        <v>3</v>
      </c>
      <c r="E62" s="68" t="s">
        <v>4</v>
      </c>
      <c r="F62" s="68" t="s">
        <v>5</v>
      </c>
      <c r="G62" s="68" t="s">
        <v>6</v>
      </c>
      <c r="H62" s="68" t="s">
        <v>7</v>
      </c>
      <c r="I62" s="68" t="s">
        <v>8</v>
      </c>
      <c r="J62" s="68" t="s">
        <v>9</v>
      </c>
      <c r="K62" s="68" t="s">
        <v>10</v>
      </c>
      <c r="L62" s="68" t="s">
        <v>11</v>
      </c>
      <c r="M62" s="68" t="s">
        <v>12</v>
      </c>
      <c r="N62" s="68" t="s">
        <v>13</v>
      </c>
      <c r="O62" s="68" t="s">
        <v>14</v>
      </c>
      <c r="P62" s="68" t="s">
        <v>15</v>
      </c>
      <c r="Q62" s="68" t="s">
        <v>16</v>
      </c>
      <c r="R62" s="68" t="s">
        <v>17</v>
      </c>
      <c r="S62" s="68" t="s">
        <v>18</v>
      </c>
      <c r="T62" s="68" t="s">
        <v>19</v>
      </c>
      <c r="U62" s="68" t="s">
        <v>20</v>
      </c>
      <c r="V62" s="68" t="s">
        <v>21</v>
      </c>
      <c r="W62" s="68" t="s">
        <v>22</v>
      </c>
      <c r="X62" s="68" t="s">
        <v>23</v>
      </c>
      <c r="Y62" s="68" t="s">
        <v>24</v>
      </c>
      <c r="Z62" s="68" t="s">
        <v>25</v>
      </c>
      <c r="AA62" s="68" t="s">
        <v>26</v>
      </c>
      <c r="AB62" s="68" t="s">
        <v>27</v>
      </c>
      <c r="AC62" s="68" t="s">
        <v>28</v>
      </c>
      <c r="AD62" s="68" t="s">
        <v>29</v>
      </c>
      <c r="AE62" s="68" t="s">
        <v>30</v>
      </c>
      <c r="AF62" s="68" t="s">
        <v>31</v>
      </c>
      <c r="AG62" s="68" t="s">
        <v>32</v>
      </c>
      <c r="AH62" s="68" t="s">
        <v>33</v>
      </c>
      <c r="AI62" s="68" t="s">
        <v>34</v>
      </c>
      <c r="AJ62" s="68" t="s">
        <v>35</v>
      </c>
      <c r="AK62" s="68" t="s">
        <v>36</v>
      </c>
      <c r="AL62" s="68" t="s">
        <v>37</v>
      </c>
      <c r="AM62" s="68" t="s">
        <v>38</v>
      </c>
      <c r="AN62" s="68" t="s">
        <v>39</v>
      </c>
      <c r="AO62" s="68" t="s">
        <v>40</v>
      </c>
      <c r="AP62" s="68" t="s">
        <v>41</v>
      </c>
      <c r="AQ62" s="68" t="s">
        <v>42</v>
      </c>
      <c r="AR62" s="68" t="s">
        <v>43</v>
      </c>
      <c r="AS62" s="68" t="s">
        <v>44</v>
      </c>
      <c r="AT62" s="68" t="s">
        <v>45</v>
      </c>
      <c r="AU62" s="68" t="s">
        <v>46</v>
      </c>
      <c r="AV62" s="68" t="s">
        <v>47</v>
      </c>
      <c r="AW62" s="68" t="s">
        <v>48</v>
      </c>
      <c r="AX62" s="68" t="s">
        <v>49</v>
      </c>
      <c r="AY62" s="68" t="s">
        <v>50</v>
      </c>
      <c r="AZ62" s="68" t="s">
        <v>51</v>
      </c>
      <c r="BA62" s="68" t="s">
        <v>52</v>
      </c>
      <c r="BB62" s="68" t="s">
        <v>53</v>
      </c>
      <c r="BC62" s="68" t="s">
        <v>54</v>
      </c>
      <c r="BD62" s="68" t="s">
        <v>55</v>
      </c>
      <c r="BE62" s="68" t="s">
        <v>56</v>
      </c>
      <c r="BF62" s="68" t="s">
        <v>57</v>
      </c>
      <c r="BG62" s="68" t="s">
        <v>58</v>
      </c>
      <c r="BH62" s="68" t="s">
        <v>59</v>
      </c>
      <c r="BI62" s="68" t="s">
        <v>60</v>
      </c>
      <c r="BJ62" s="68" t="s">
        <v>61</v>
      </c>
      <c r="BK62" s="68" t="s">
        <v>62</v>
      </c>
      <c r="BL62" s="68" t="s">
        <v>63</v>
      </c>
      <c r="BM62" s="68" t="s">
        <v>64</v>
      </c>
      <c r="BN62" s="68" t="s">
        <v>65</v>
      </c>
      <c r="BO62" s="68" t="s">
        <v>66</v>
      </c>
      <c r="BP62" s="68" t="s">
        <v>67</v>
      </c>
      <c r="BQ62" s="68" t="s">
        <v>68</v>
      </c>
      <c r="BR62" s="68" t="s">
        <v>69</v>
      </c>
      <c r="BS62" s="68" t="s">
        <v>70</v>
      </c>
      <c r="BT62" s="68" t="s">
        <v>71</v>
      </c>
      <c r="BU62" s="68" t="s">
        <v>72</v>
      </c>
      <c r="BV62" s="68" t="s">
        <v>73</v>
      </c>
      <c r="BW62" s="68" t="s">
        <v>74</v>
      </c>
      <c r="BX62" s="77" t="s">
        <v>75</v>
      </c>
      <c r="CM62" s="69" t="s">
        <v>76</v>
      </c>
    </row>
    <row r="63" spans="1:91" x14ac:dyDescent="0.2">
      <c r="A63" s="11" t="s">
        <v>124</v>
      </c>
      <c r="B63" s="12"/>
      <c r="C63" s="12">
        <v>1165.4050589999999</v>
      </c>
      <c r="D63" s="12">
        <v>535.14555800000005</v>
      </c>
      <c r="E63" s="12">
        <v>617.43607199999997</v>
      </c>
      <c r="F63" s="12">
        <v>583.99773500000003</v>
      </c>
      <c r="G63" s="12">
        <v>725.331999</v>
      </c>
      <c r="H63" s="12">
        <v>622.61546299999998</v>
      </c>
      <c r="I63" s="12">
        <v>626.52486799999997</v>
      </c>
      <c r="J63" s="12">
        <v>1030.924536</v>
      </c>
      <c r="K63" s="12">
        <v>928.46073000000001</v>
      </c>
      <c r="L63" s="12">
        <v>966.40892199999996</v>
      </c>
      <c r="M63" s="12">
        <v>901.82028800000001</v>
      </c>
      <c r="N63" s="12">
        <v>1231.8003309999999</v>
      </c>
      <c r="O63" s="12">
        <v>905.93217900000002</v>
      </c>
      <c r="P63" s="12">
        <v>825.73853999999994</v>
      </c>
      <c r="Q63" s="12">
        <v>857.95843100000002</v>
      </c>
      <c r="R63" s="12">
        <v>697.123333</v>
      </c>
      <c r="S63" s="12">
        <v>734.08118999999999</v>
      </c>
      <c r="T63" s="12">
        <v>618.65999399999998</v>
      </c>
      <c r="U63" s="12">
        <v>682.82649400000003</v>
      </c>
      <c r="V63" s="12">
        <v>678.44600400000002</v>
      </c>
      <c r="W63" s="12">
        <v>716.54630199999997</v>
      </c>
      <c r="X63" s="12">
        <v>716.44340899999997</v>
      </c>
      <c r="Y63" s="12">
        <v>973.08627899999999</v>
      </c>
      <c r="Z63" s="12">
        <v>778.67249700000002</v>
      </c>
      <c r="AA63" s="12">
        <v>842.77397800000006</v>
      </c>
      <c r="AB63" s="12">
        <v>822.17045399999995</v>
      </c>
      <c r="AC63" s="12">
        <v>658.220055</v>
      </c>
      <c r="AD63" s="12">
        <v>837.438132</v>
      </c>
      <c r="AE63" s="12">
        <v>1103.635309</v>
      </c>
      <c r="AF63" s="12">
        <v>621.51405199999999</v>
      </c>
      <c r="AG63" s="12">
        <v>715.282602</v>
      </c>
      <c r="AH63" s="12">
        <v>774.14767500000005</v>
      </c>
      <c r="AI63" s="12">
        <v>790.11397899999997</v>
      </c>
      <c r="AJ63" s="12">
        <v>745.58638299999996</v>
      </c>
      <c r="AK63" s="12">
        <v>748.527019</v>
      </c>
      <c r="AL63" s="12">
        <v>967.01434200000006</v>
      </c>
      <c r="AM63" s="12">
        <v>769.13468599999999</v>
      </c>
      <c r="AN63" s="12">
        <v>703.07202299999994</v>
      </c>
      <c r="AO63" s="12">
        <v>1106.8703109999999</v>
      </c>
      <c r="AP63" s="12">
        <v>693.51104599999996</v>
      </c>
      <c r="AQ63" s="12">
        <v>875.34100899999999</v>
      </c>
      <c r="AR63" s="12">
        <v>882.67639699999995</v>
      </c>
      <c r="AS63" s="12">
        <v>680.67342900000006</v>
      </c>
      <c r="AT63" s="12">
        <v>729.74902499999996</v>
      </c>
      <c r="AU63" s="12">
        <v>813.85514699999999</v>
      </c>
      <c r="AV63" s="12">
        <v>886.28324099999998</v>
      </c>
      <c r="AW63" s="12">
        <v>781.06019300000003</v>
      </c>
      <c r="AX63" s="12">
        <v>824.88547800000003</v>
      </c>
      <c r="AY63" s="12">
        <v>890.27498000000003</v>
      </c>
      <c r="AZ63" s="12">
        <v>788.845325</v>
      </c>
      <c r="BA63" s="12">
        <v>884.070877</v>
      </c>
      <c r="BB63" s="12">
        <v>651.81085499999995</v>
      </c>
      <c r="BC63" s="12">
        <v>644.81708500000002</v>
      </c>
      <c r="BD63" s="12">
        <v>708.42773499999998</v>
      </c>
      <c r="BE63" s="12">
        <v>676.73157900000001</v>
      </c>
      <c r="BF63" s="12">
        <v>733.36990500000002</v>
      </c>
      <c r="BG63" s="12">
        <v>694.28117099999997</v>
      </c>
      <c r="BH63" s="12">
        <v>709.771433</v>
      </c>
      <c r="BI63" s="12">
        <v>817.76401099999998</v>
      </c>
      <c r="BJ63" s="12">
        <v>790.20993499999997</v>
      </c>
      <c r="BK63" s="12">
        <v>791.02041499999996</v>
      </c>
      <c r="BL63" s="12">
        <v>868.90312700000004</v>
      </c>
      <c r="BM63" s="12">
        <v>917.12313500000005</v>
      </c>
      <c r="BN63" s="12">
        <v>862.34733600000004</v>
      </c>
      <c r="BO63" s="12">
        <v>896.81997899999999</v>
      </c>
      <c r="BP63" s="12">
        <v>866.59554900000001</v>
      </c>
      <c r="BQ63" s="12">
        <v>814.06903999999997</v>
      </c>
      <c r="BR63" s="12">
        <v>848.10246400000005</v>
      </c>
      <c r="BS63" s="12">
        <v>723.56095400000004</v>
      </c>
      <c r="BT63" s="12">
        <v>982.59783800000002</v>
      </c>
      <c r="BU63" s="12">
        <v>896.02130399999999</v>
      </c>
      <c r="BV63" s="12">
        <v>915.40783399999998</v>
      </c>
      <c r="BW63" s="12">
        <v>889.83717799999999</v>
      </c>
      <c r="BX63" s="70">
        <f>AVERAGE(C63:BW63)</f>
        <v>804.90004413698648</v>
      </c>
      <c r="CM63" s="15">
        <v>625.87935800000002</v>
      </c>
    </row>
    <row r="64" spans="1:91" x14ac:dyDescent="0.2">
      <c r="A64" s="11" t="s">
        <v>125</v>
      </c>
      <c r="B64" s="12" t="s">
        <v>87</v>
      </c>
      <c r="C64" s="12">
        <v>51.951656999999997</v>
      </c>
      <c r="D64" s="12">
        <v>23.753623000000001</v>
      </c>
      <c r="E64" s="12">
        <v>29.267441000000002</v>
      </c>
      <c r="F64" s="12">
        <v>28.669041</v>
      </c>
      <c r="G64" s="12">
        <v>33.486708</v>
      </c>
      <c r="H64" s="12">
        <v>27.348800000000001</v>
      </c>
      <c r="I64" s="12">
        <v>27.906773999999999</v>
      </c>
      <c r="J64" s="12">
        <v>44.780512000000002</v>
      </c>
      <c r="K64" s="12">
        <v>43.928662000000003</v>
      </c>
      <c r="L64" s="12">
        <v>42.060285999999998</v>
      </c>
      <c r="M64" s="12">
        <v>42.306536000000001</v>
      </c>
      <c r="N64" s="12">
        <v>53.176310999999998</v>
      </c>
      <c r="O64" s="12">
        <v>40.888171999999997</v>
      </c>
      <c r="P64" s="12">
        <v>35.810620999999998</v>
      </c>
      <c r="Q64" s="12">
        <v>43.460151000000003</v>
      </c>
      <c r="R64" s="12">
        <v>35.789273000000001</v>
      </c>
      <c r="S64" s="12">
        <v>37.042893999999997</v>
      </c>
      <c r="T64" s="12">
        <v>30.356344</v>
      </c>
      <c r="U64" s="12">
        <v>32.517274</v>
      </c>
      <c r="V64" s="12">
        <v>32.008727999999998</v>
      </c>
      <c r="W64" s="12">
        <v>36.808140000000002</v>
      </c>
      <c r="X64" s="12">
        <v>32.445207000000003</v>
      </c>
      <c r="Y64" s="12">
        <v>47.962215999999998</v>
      </c>
      <c r="Z64" s="12">
        <v>34.857467</v>
      </c>
      <c r="AA64" s="12">
        <v>39.910609000000001</v>
      </c>
      <c r="AB64" s="12">
        <v>39.030222000000002</v>
      </c>
      <c r="AC64" s="12">
        <v>29.678453000000001</v>
      </c>
      <c r="AD64" s="12">
        <v>39.254089999999998</v>
      </c>
      <c r="AE64" s="12">
        <v>52.414428000000001</v>
      </c>
      <c r="AF64" s="12">
        <v>29.185884000000001</v>
      </c>
      <c r="AG64" s="12">
        <v>37.018898999999998</v>
      </c>
      <c r="AH64" s="12">
        <v>37.276145</v>
      </c>
      <c r="AI64" s="12">
        <v>39.447279000000002</v>
      </c>
      <c r="AJ64" s="12">
        <v>33.867359</v>
      </c>
      <c r="AK64" s="12">
        <v>37.077962999999997</v>
      </c>
      <c r="AL64" s="12">
        <v>42.075319</v>
      </c>
      <c r="AM64" s="12">
        <v>36.592258000000001</v>
      </c>
      <c r="AN64" s="12">
        <v>36.056581999999999</v>
      </c>
      <c r="AO64" s="12">
        <v>50.226874000000002</v>
      </c>
      <c r="AP64" s="12">
        <v>32.074770999999998</v>
      </c>
      <c r="AQ64" s="12">
        <v>42.868993000000003</v>
      </c>
      <c r="AR64" s="12">
        <v>40.095869</v>
      </c>
      <c r="AS64" s="12">
        <v>31.904658999999999</v>
      </c>
      <c r="AT64" s="12">
        <v>35.093294999999998</v>
      </c>
      <c r="AU64" s="12">
        <v>38.971581999999998</v>
      </c>
      <c r="AV64" s="12">
        <v>44.238562000000002</v>
      </c>
      <c r="AW64" s="12">
        <v>22.176272000000001</v>
      </c>
      <c r="AX64" s="12">
        <v>37.100707</v>
      </c>
      <c r="AY64" s="12">
        <v>45.208177999999997</v>
      </c>
      <c r="AZ64" s="12">
        <v>40.467692999999997</v>
      </c>
      <c r="BA64" s="12">
        <v>40.547141000000003</v>
      </c>
      <c r="BB64" s="12">
        <v>31.195957</v>
      </c>
      <c r="BC64" s="12">
        <v>32.405943000000001</v>
      </c>
      <c r="BD64" s="12">
        <v>34.874842000000001</v>
      </c>
      <c r="BE64" s="12">
        <v>32.117275999999997</v>
      </c>
      <c r="BF64" s="12">
        <v>32.593457000000001</v>
      </c>
      <c r="BG64" s="12">
        <v>33.513280999999999</v>
      </c>
      <c r="BH64" s="12">
        <v>32.431424999999997</v>
      </c>
      <c r="BI64" s="12">
        <v>40.198929</v>
      </c>
      <c r="BJ64" s="12">
        <v>37.854047999999999</v>
      </c>
      <c r="BK64" s="12">
        <v>38.460943</v>
      </c>
      <c r="BL64" s="12">
        <v>43.025888000000002</v>
      </c>
      <c r="BM64" s="12">
        <v>42.578457</v>
      </c>
      <c r="BN64" s="12">
        <v>41.036746000000001</v>
      </c>
      <c r="BO64" s="12">
        <v>43.826624000000002</v>
      </c>
      <c r="BP64" s="12">
        <v>38.512310999999997</v>
      </c>
      <c r="BQ64" s="12">
        <v>38.135061</v>
      </c>
      <c r="BR64" s="12">
        <v>37.575761999999997</v>
      </c>
      <c r="BS64" s="12">
        <v>31.289514</v>
      </c>
      <c r="BT64" s="12">
        <v>49.210538999999997</v>
      </c>
      <c r="BU64" s="12">
        <v>45.386006999999999</v>
      </c>
      <c r="BV64" s="12">
        <v>40.213102999999997</v>
      </c>
      <c r="BW64" s="12">
        <v>42.676229999999997</v>
      </c>
      <c r="BX64" s="70">
        <f>AVERAGE(C64:BW64)</f>
        <v>37.774729684931515</v>
      </c>
      <c r="CM64" s="15">
        <v>29.516649999999998</v>
      </c>
    </row>
    <row r="65" spans="1:91" x14ac:dyDescent="0.2">
      <c r="A65" s="11" t="s">
        <v>126</v>
      </c>
      <c r="B65" s="12"/>
      <c r="C65" s="12">
        <f t="shared" ref="C65:BN65" si="29">C19-C66</f>
        <v>1217.356716</v>
      </c>
      <c r="D65" s="12">
        <f t="shared" si="29"/>
        <v>558.899181</v>
      </c>
      <c r="E65" s="12">
        <f t="shared" si="29"/>
        <v>646.70351299999993</v>
      </c>
      <c r="F65" s="12">
        <f t="shared" si="29"/>
        <v>612.66677600000003</v>
      </c>
      <c r="G65" s="12">
        <f t="shared" si="29"/>
        <v>758.8187069999999</v>
      </c>
      <c r="H65" s="12">
        <f t="shared" si="29"/>
        <v>649.96426299999996</v>
      </c>
      <c r="I65" s="12">
        <f t="shared" si="29"/>
        <v>654.43164200000001</v>
      </c>
      <c r="J65" s="12">
        <f t="shared" si="29"/>
        <v>1075.7050479999998</v>
      </c>
      <c r="K65" s="12">
        <f t="shared" si="29"/>
        <v>972.38939200000004</v>
      </c>
      <c r="L65" s="12">
        <f t="shared" si="29"/>
        <v>1008.469208</v>
      </c>
      <c r="M65" s="12">
        <f t="shared" si="29"/>
        <v>944.12682399999994</v>
      </c>
      <c r="N65" s="12">
        <f t="shared" si="29"/>
        <v>1284.9766419999999</v>
      </c>
      <c r="O65" s="12">
        <f t="shared" si="29"/>
        <v>946.82035100000007</v>
      </c>
      <c r="P65" s="12">
        <f t="shared" si="29"/>
        <v>861.54916100000003</v>
      </c>
      <c r="Q65" s="12">
        <f t="shared" si="29"/>
        <v>901.41858200000001</v>
      </c>
      <c r="R65" s="12">
        <f t="shared" si="29"/>
        <v>732.91260599999998</v>
      </c>
      <c r="S65" s="12">
        <f t="shared" si="29"/>
        <v>771.12408400000004</v>
      </c>
      <c r="T65" s="12">
        <f t="shared" si="29"/>
        <v>649.01633800000002</v>
      </c>
      <c r="U65" s="12">
        <f t="shared" si="29"/>
        <v>715.34376799999995</v>
      </c>
      <c r="V65" s="12">
        <f t="shared" si="29"/>
        <v>710.45473200000004</v>
      </c>
      <c r="W65" s="12">
        <f t="shared" si="29"/>
        <v>753.35444200000006</v>
      </c>
      <c r="X65" s="12">
        <f t="shared" si="29"/>
        <v>748.88861599999996</v>
      </c>
      <c r="Y65" s="12">
        <f t="shared" si="29"/>
        <v>1021.048495</v>
      </c>
      <c r="Z65" s="12">
        <f t="shared" si="29"/>
        <v>813.52996400000006</v>
      </c>
      <c r="AA65" s="12">
        <f t="shared" si="29"/>
        <v>882.68458699999996</v>
      </c>
      <c r="AB65" s="12">
        <f t="shared" si="29"/>
        <v>861.20067600000004</v>
      </c>
      <c r="AC65" s="12">
        <f t="shared" si="29"/>
        <v>687.89850799999999</v>
      </c>
      <c r="AD65" s="12">
        <f t="shared" si="29"/>
        <v>876.69222200000002</v>
      </c>
      <c r="AE65" s="12">
        <f t="shared" si="29"/>
        <v>1156.0497370000001</v>
      </c>
      <c r="AF65" s="12">
        <f t="shared" si="29"/>
        <v>650.69993599999998</v>
      </c>
      <c r="AG65" s="12">
        <f t="shared" si="29"/>
        <v>752.30150100000003</v>
      </c>
      <c r="AH65" s="12">
        <f t="shared" si="29"/>
        <v>811.42381999999998</v>
      </c>
      <c r="AI65" s="12">
        <f t="shared" si="29"/>
        <v>829.56125800000007</v>
      </c>
      <c r="AJ65" s="12">
        <f t="shared" si="29"/>
        <v>779.45374199999992</v>
      </c>
      <c r="AK65" s="12">
        <f t="shared" si="29"/>
        <v>785.60498200000006</v>
      </c>
      <c r="AL65" s="12">
        <f t="shared" si="29"/>
        <v>1009.089661</v>
      </c>
      <c r="AM65" s="12">
        <f t="shared" si="29"/>
        <v>805.726944</v>
      </c>
      <c r="AN65" s="12">
        <f t="shared" si="29"/>
        <v>739.12860499999999</v>
      </c>
      <c r="AO65" s="12">
        <f t="shared" si="29"/>
        <v>1157.0971849999999</v>
      </c>
      <c r="AP65" s="12">
        <f t="shared" si="29"/>
        <v>725.58581699999991</v>
      </c>
      <c r="AQ65" s="12">
        <f t="shared" si="29"/>
        <v>918.21000200000003</v>
      </c>
      <c r="AR65" s="12">
        <f t="shared" si="29"/>
        <v>922.77226599999995</v>
      </c>
      <c r="AS65" s="12">
        <f t="shared" si="29"/>
        <v>712.57808799999998</v>
      </c>
      <c r="AT65" s="12">
        <f t="shared" si="29"/>
        <v>764.84232000000009</v>
      </c>
      <c r="AU65" s="12">
        <f t="shared" si="29"/>
        <v>852.826729</v>
      </c>
      <c r="AV65" s="12">
        <f t="shared" si="29"/>
        <v>930.52180299999998</v>
      </c>
      <c r="AW65" s="12">
        <f t="shared" si="29"/>
        <v>803.23646500000007</v>
      </c>
      <c r="AX65" s="12">
        <f t="shared" si="29"/>
        <v>861.98618500000009</v>
      </c>
      <c r="AY65" s="12">
        <f t="shared" si="29"/>
        <v>935.483158</v>
      </c>
      <c r="AZ65" s="12">
        <f t="shared" si="29"/>
        <v>829.31301799999994</v>
      </c>
      <c r="BA65" s="12">
        <f t="shared" si="29"/>
        <v>924.61801800000001</v>
      </c>
      <c r="BB65" s="12">
        <f t="shared" si="29"/>
        <v>683.00681199999997</v>
      </c>
      <c r="BC65" s="12">
        <f t="shared" si="29"/>
        <v>677.223028</v>
      </c>
      <c r="BD65" s="12">
        <f t="shared" si="29"/>
        <v>743.30257700000004</v>
      </c>
      <c r="BE65" s="12">
        <f t="shared" si="29"/>
        <v>708.84885499999996</v>
      </c>
      <c r="BF65" s="12">
        <f t="shared" si="29"/>
        <v>765.96336200000007</v>
      </c>
      <c r="BG65" s="12">
        <f t="shared" si="29"/>
        <v>727.79445199999998</v>
      </c>
      <c r="BH65" s="12">
        <f t="shared" si="29"/>
        <v>742.20285799999999</v>
      </c>
      <c r="BI65" s="12">
        <f t="shared" si="29"/>
        <v>857.96294</v>
      </c>
      <c r="BJ65" s="12">
        <f t="shared" si="29"/>
        <v>828.06398300000001</v>
      </c>
      <c r="BK65" s="12">
        <f t="shared" si="29"/>
        <v>829.481358</v>
      </c>
      <c r="BL65" s="12">
        <f t="shared" si="29"/>
        <v>911.92901500000005</v>
      </c>
      <c r="BM65" s="12">
        <f t="shared" si="29"/>
        <v>959.70159200000001</v>
      </c>
      <c r="BN65" s="12">
        <f t="shared" si="29"/>
        <v>903.38408200000003</v>
      </c>
      <c r="BO65" s="12">
        <f t="shared" ref="BO65:BW65" si="30">BO19-BO66</f>
        <v>940.64660300000003</v>
      </c>
      <c r="BP65" s="12">
        <f t="shared" si="30"/>
        <v>905.10785999999996</v>
      </c>
      <c r="BQ65" s="12">
        <f t="shared" si="30"/>
        <v>852.20410100000004</v>
      </c>
      <c r="BR65" s="12">
        <f t="shared" si="30"/>
        <v>885.678226</v>
      </c>
      <c r="BS65" s="12">
        <f t="shared" si="30"/>
        <v>754.85046799999998</v>
      </c>
      <c r="BT65" s="12">
        <f t="shared" si="30"/>
        <v>1031.8083769999998</v>
      </c>
      <c r="BU65" s="12">
        <f t="shared" si="30"/>
        <v>941.40731100000005</v>
      </c>
      <c r="BV65" s="12">
        <f t="shared" si="30"/>
        <v>955.62093700000003</v>
      </c>
      <c r="BW65" s="12">
        <f t="shared" si="30"/>
        <v>932.51340800000003</v>
      </c>
      <c r="BX65" s="70">
        <f>AVERAGE(C65:BW65)</f>
        <v>842.67477382191805</v>
      </c>
      <c r="CM65" s="15">
        <f>CM19-CM66</f>
        <v>655.39600799999994</v>
      </c>
    </row>
    <row r="66" spans="1:91" ht="17" thickBot="1" x14ac:dyDescent="0.25">
      <c r="A66" s="17" t="s">
        <v>127</v>
      </c>
      <c r="B66" s="58"/>
      <c r="C66" s="12">
        <v>0.62981799999999999</v>
      </c>
      <c r="D66" s="12">
        <v>2.5255E-2</v>
      </c>
      <c r="E66" s="12">
        <v>3.4261E-2</v>
      </c>
      <c r="F66" s="12">
        <v>0.76205599999999996</v>
      </c>
      <c r="G66" s="12">
        <v>0.83782900000000005</v>
      </c>
      <c r="H66" s="12">
        <v>0.454071</v>
      </c>
      <c r="I66" s="12">
        <v>2.7174E-2</v>
      </c>
      <c r="J66" s="12">
        <v>0.37297799999999998</v>
      </c>
      <c r="K66" s="12">
        <v>0.93326600000000004</v>
      </c>
      <c r="L66" s="12">
        <v>1.4918979999999999</v>
      </c>
      <c r="M66" s="12">
        <v>0.58877800000000002</v>
      </c>
      <c r="N66" s="12">
        <v>0.81715800000000005</v>
      </c>
      <c r="O66" s="12">
        <v>0.72146100000000002</v>
      </c>
      <c r="P66" s="12">
        <v>1.158455</v>
      </c>
      <c r="Q66" s="12">
        <v>0.76897000000000004</v>
      </c>
      <c r="R66" s="12">
        <v>0.66695400000000005</v>
      </c>
      <c r="S66" s="12">
        <v>0.73509999999999998</v>
      </c>
      <c r="T66" s="12">
        <v>0.608958</v>
      </c>
      <c r="U66" s="12">
        <v>0.79285000000000005</v>
      </c>
      <c r="V66" s="12">
        <v>0.58461799999999997</v>
      </c>
      <c r="W66" s="12">
        <v>0.47911199999999998</v>
      </c>
      <c r="X66" s="12">
        <v>0.46643800000000002</v>
      </c>
      <c r="Y66" s="12">
        <v>0.64849299999999999</v>
      </c>
      <c r="Z66" s="12">
        <v>1.1912419999999999</v>
      </c>
      <c r="AA66" s="12">
        <v>1.360441</v>
      </c>
      <c r="AB66" s="12">
        <v>1.448402</v>
      </c>
      <c r="AC66" s="12">
        <v>0.413466</v>
      </c>
      <c r="AD66" s="12">
        <v>0.53470799999999996</v>
      </c>
      <c r="AE66" s="12">
        <v>0.63152299999999995</v>
      </c>
      <c r="AF66" s="12">
        <v>1.02704</v>
      </c>
      <c r="AG66" s="12">
        <v>1.1871970000000001</v>
      </c>
      <c r="AH66" s="12">
        <v>0.69329200000000002</v>
      </c>
      <c r="AI66" s="12">
        <v>82.680623999999995</v>
      </c>
      <c r="AJ66" s="12">
        <v>35.305683999999999</v>
      </c>
      <c r="AK66" s="12">
        <v>0.53229400000000004</v>
      </c>
      <c r="AL66" s="12">
        <v>0.47816900000000001</v>
      </c>
      <c r="AM66" s="12">
        <v>1.199756</v>
      </c>
      <c r="AN66" s="12">
        <v>0.77215900000000004</v>
      </c>
      <c r="AO66" s="12">
        <v>1.391853</v>
      </c>
      <c r="AP66" s="12">
        <v>0.89429499999999995</v>
      </c>
      <c r="AQ66" s="12">
        <v>1.1147959999999999</v>
      </c>
      <c r="AR66" s="12">
        <v>1.1813659999999999</v>
      </c>
      <c r="AS66" s="12">
        <v>0.63845399999999997</v>
      </c>
      <c r="AT66" s="12">
        <v>0.76068400000000003</v>
      </c>
      <c r="AU66" s="12">
        <v>0.71606899999999996</v>
      </c>
      <c r="AV66" s="12">
        <v>0.95781300000000003</v>
      </c>
      <c r="AW66" s="12">
        <v>0.47966700000000001</v>
      </c>
      <c r="AX66" s="12">
        <v>0.76257699999999995</v>
      </c>
      <c r="AY66" s="12">
        <v>0.75616000000000005</v>
      </c>
      <c r="AZ66" s="12">
        <v>0.69167599999999996</v>
      </c>
      <c r="BA66" s="12">
        <v>1.777652</v>
      </c>
      <c r="BB66" s="12">
        <v>143.281836</v>
      </c>
      <c r="BC66" s="12">
        <v>0.57904</v>
      </c>
      <c r="BD66" s="12">
        <v>0.76108100000000001</v>
      </c>
      <c r="BE66" s="12">
        <v>0.66694900000000001</v>
      </c>
      <c r="BF66" s="12">
        <v>0.78131399999999995</v>
      </c>
      <c r="BG66" s="12">
        <v>0.67640800000000001</v>
      </c>
      <c r="BH66" s="12">
        <v>0.69147999999999998</v>
      </c>
      <c r="BI66" s="12">
        <v>0.72898600000000002</v>
      </c>
      <c r="BJ66" s="12">
        <v>0.69303300000000001</v>
      </c>
      <c r="BK66" s="12">
        <v>0.96360800000000002</v>
      </c>
      <c r="BL66" s="12">
        <v>0.88212100000000004</v>
      </c>
      <c r="BM66" s="12">
        <v>0.84934200000000004</v>
      </c>
      <c r="BN66" s="12">
        <v>0.89775000000000005</v>
      </c>
      <c r="BO66" s="12">
        <v>0.99049299999999996</v>
      </c>
      <c r="BP66" s="12">
        <v>0.85297400000000001</v>
      </c>
      <c r="BQ66" s="12">
        <v>0.73546900000000004</v>
      </c>
      <c r="BR66" s="12">
        <v>0.73327799999999999</v>
      </c>
      <c r="BS66" s="12">
        <v>0.47125800000000001</v>
      </c>
      <c r="BT66" s="12">
        <v>0.81898899999999997</v>
      </c>
      <c r="BU66" s="12">
        <v>0.72642099999999998</v>
      </c>
      <c r="BV66" s="12">
        <v>0.62810699999999997</v>
      </c>
      <c r="BW66" s="12">
        <v>0.50760400000000006</v>
      </c>
      <c r="BX66" s="70">
        <f>AVERAGE(C66:BW66)</f>
        <v>4.3164733013698635</v>
      </c>
      <c r="CM66" s="15">
        <v>0.55568799999999996</v>
      </c>
    </row>
    <row r="67" spans="1:91" ht="20" thickBot="1" x14ac:dyDescent="0.3">
      <c r="A67" s="78" t="s">
        <v>98</v>
      </c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0"/>
      <c r="BH67" s="20"/>
      <c r="BI67" s="20"/>
      <c r="BJ67" s="20"/>
      <c r="BK67" s="20"/>
      <c r="BL67" s="20"/>
      <c r="BM67" s="20"/>
      <c r="BN67" s="20"/>
      <c r="BO67" s="20"/>
      <c r="BP67" s="20"/>
      <c r="BQ67" s="20"/>
      <c r="BR67" s="20"/>
      <c r="BS67" s="20"/>
      <c r="BT67" s="20"/>
      <c r="BU67" s="20"/>
      <c r="BV67" s="20"/>
      <c r="BW67" s="20"/>
    </row>
    <row r="68" spans="1:91" x14ac:dyDescent="0.2">
      <c r="A68" s="79" t="s">
        <v>99</v>
      </c>
      <c r="B68" s="80"/>
      <c r="C68" s="81" t="str">
        <f t="shared" ref="C68:BN68" si="31">IF(C56=C62, "YES", "NO")</f>
        <v>YES</v>
      </c>
      <c r="D68" s="81" t="str">
        <f t="shared" si="31"/>
        <v>YES</v>
      </c>
      <c r="E68" s="81" t="str">
        <f t="shared" si="31"/>
        <v>YES</v>
      </c>
      <c r="F68" s="81" t="str">
        <f t="shared" si="31"/>
        <v>YES</v>
      </c>
      <c r="G68" s="81" t="str">
        <f t="shared" si="31"/>
        <v>YES</v>
      </c>
      <c r="H68" s="81" t="str">
        <f t="shared" si="31"/>
        <v>YES</v>
      </c>
      <c r="I68" s="81" t="str">
        <f t="shared" si="31"/>
        <v>YES</v>
      </c>
      <c r="J68" s="81" t="str">
        <f t="shared" si="31"/>
        <v>YES</v>
      </c>
      <c r="K68" s="81" t="str">
        <f t="shared" si="31"/>
        <v>YES</v>
      </c>
      <c r="L68" s="81" t="str">
        <f t="shared" si="31"/>
        <v>YES</v>
      </c>
      <c r="M68" s="81" t="str">
        <f t="shared" si="31"/>
        <v>YES</v>
      </c>
      <c r="N68" s="81" t="str">
        <f t="shared" si="31"/>
        <v>YES</v>
      </c>
      <c r="O68" s="81" t="str">
        <f t="shared" si="31"/>
        <v>YES</v>
      </c>
      <c r="P68" s="81" t="str">
        <f t="shared" si="31"/>
        <v>YES</v>
      </c>
      <c r="Q68" s="81" t="str">
        <f t="shared" si="31"/>
        <v>YES</v>
      </c>
      <c r="R68" s="81" t="str">
        <f t="shared" si="31"/>
        <v>YES</v>
      </c>
      <c r="S68" s="81" t="str">
        <f t="shared" si="31"/>
        <v>YES</v>
      </c>
      <c r="T68" s="81" t="str">
        <f t="shared" si="31"/>
        <v>YES</v>
      </c>
      <c r="U68" s="81" t="str">
        <f t="shared" si="31"/>
        <v>YES</v>
      </c>
      <c r="V68" s="81" t="str">
        <f t="shared" si="31"/>
        <v>YES</v>
      </c>
      <c r="W68" s="81" t="str">
        <f t="shared" si="31"/>
        <v>YES</v>
      </c>
      <c r="X68" s="81" t="str">
        <f t="shared" si="31"/>
        <v>YES</v>
      </c>
      <c r="Y68" s="81" t="str">
        <f t="shared" si="31"/>
        <v>YES</v>
      </c>
      <c r="Z68" s="81" t="str">
        <f t="shared" si="31"/>
        <v>YES</v>
      </c>
      <c r="AA68" s="81" t="str">
        <f t="shared" si="31"/>
        <v>YES</v>
      </c>
      <c r="AB68" s="81" t="str">
        <f t="shared" si="31"/>
        <v>YES</v>
      </c>
      <c r="AC68" s="81" t="str">
        <f t="shared" si="31"/>
        <v>YES</v>
      </c>
      <c r="AD68" s="81" t="str">
        <f t="shared" si="31"/>
        <v>YES</v>
      </c>
      <c r="AE68" s="81" t="str">
        <f t="shared" si="31"/>
        <v>YES</v>
      </c>
      <c r="AF68" s="81" t="str">
        <f t="shared" si="31"/>
        <v>YES</v>
      </c>
      <c r="AG68" s="81" t="str">
        <f t="shared" si="31"/>
        <v>YES</v>
      </c>
      <c r="AH68" s="81" t="str">
        <f t="shared" si="31"/>
        <v>YES</v>
      </c>
      <c r="AI68" s="81" t="str">
        <f t="shared" si="31"/>
        <v>YES</v>
      </c>
      <c r="AJ68" s="81" t="str">
        <f t="shared" si="31"/>
        <v>YES</v>
      </c>
      <c r="AK68" s="81" t="str">
        <f t="shared" si="31"/>
        <v>YES</v>
      </c>
      <c r="AL68" s="81" t="str">
        <f t="shared" si="31"/>
        <v>YES</v>
      </c>
      <c r="AM68" s="81" t="str">
        <f t="shared" si="31"/>
        <v>YES</v>
      </c>
      <c r="AN68" s="81" t="str">
        <f t="shared" si="31"/>
        <v>YES</v>
      </c>
      <c r="AO68" s="81" t="str">
        <f t="shared" si="31"/>
        <v>YES</v>
      </c>
      <c r="AP68" s="81" t="str">
        <f t="shared" si="31"/>
        <v>YES</v>
      </c>
      <c r="AQ68" s="81" t="str">
        <f t="shared" si="31"/>
        <v>YES</v>
      </c>
      <c r="AR68" s="81" t="str">
        <f t="shared" si="31"/>
        <v>YES</v>
      </c>
      <c r="AS68" s="81" t="str">
        <f t="shared" si="31"/>
        <v>YES</v>
      </c>
      <c r="AT68" s="81" t="str">
        <f t="shared" si="31"/>
        <v>YES</v>
      </c>
      <c r="AU68" s="81" t="str">
        <f t="shared" si="31"/>
        <v>YES</v>
      </c>
      <c r="AV68" s="81" t="str">
        <f t="shared" si="31"/>
        <v>YES</v>
      </c>
      <c r="AW68" s="81" t="str">
        <f t="shared" si="31"/>
        <v>YES</v>
      </c>
      <c r="AX68" s="81" t="str">
        <f t="shared" si="31"/>
        <v>YES</v>
      </c>
      <c r="AY68" s="81" t="str">
        <f t="shared" si="31"/>
        <v>YES</v>
      </c>
      <c r="AZ68" s="81" t="str">
        <f t="shared" si="31"/>
        <v>YES</v>
      </c>
      <c r="BA68" s="81" t="str">
        <f t="shared" si="31"/>
        <v>YES</v>
      </c>
      <c r="BB68" s="81" t="str">
        <f t="shared" si="31"/>
        <v>YES</v>
      </c>
      <c r="BC68" s="81" t="str">
        <f t="shared" si="31"/>
        <v>YES</v>
      </c>
      <c r="BD68" s="81" t="str">
        <f t="shared" si="31"/>
        <v>YES</v>
      </c>
      <c r="BE68" s="81" t="str">
        <f t="shared" si="31"/>
        <v>YES</v>
      </c>
      <c r="BF68" s="81" t="str">
        <f t="shared" si="31"/>
        <v>YES</v>
      </c>
      <c r="BG68" s="81" t="str">
        <f t="shared" si="31"/>
        <v>YES</v>
      </c>
      <c r="BH68" s="81" t="str">
        <f t="shared" si="31"/>
        <v>YES</v>
      </c>
      <c r="BI68" s="81" t="str">
        <f t="shared" si="31"/>
        <v>YES</v>
      </c>
      <c r="BJ68" s="81" t="str">
        <f t="shared" si="31"/>
        <v>YES</v>
      </c>
      <c r="BK68" s="81" t="str">
        <f t="shared" si="31"/>
        <v>YES</v>
      </c>
      <c r="BL68" s="81" t="str">
        <f t="shared" si="31"/>
        <v>YES</v>
      </c>
      <c r="BM68" s="81" t="str">
        <f t="shared" si="31"/>
        <v>YES</v>
      </c>
      <c r="BN68" s="81" t="str">
        <f t="shared" si="31"/>
        <v>YES</v>
      </c>
      <c r="BO68" s="81" t="str">
        <f t="shared" ref="BO68:BX68" si="32">IF(BO56=BO62, "YES", "NO")</f>
        <v>YES</v>
      </c>
      <c r="BP68" s="81" t="str">
        <f t="shared" si="32"/>
        <v>YES</v>
      </c>
      <c r="BQ68" s="81" t="str">
        <f t="shared" si="32"/>
        <v>YES</v>
      </c>
      <c r="BR68" s="81" t="str">
        <f t="shared" si="32"/>
        <v>YES</v>
      </c>
      <c r="BS68" s="81" t="str">
        <f t="shared" si="32"/>
        <v>YES</v>
      </c>
      <c r="BT68" s="81" t="str">
        <f t="shared" si="32"/>
        <v>YES</v>
      </c>
      <c r="BU68" s="81" t="str">
        <f t="shared" si="32"/>
        <v>YES</v>
      </c>
      <c r="BV68" s="81" t="str">
        <f t="shared" si="32"/>
        <v>YES</v>
      </c>
      <c r="BW68" s="81" t="str">
        <f t="shared" si="32"/>
        <v>YES</v>
      </c>
      <c r="BX68" s="82" t="s">
        <v>75</v>
      </c>
      <c r="BY68" s="31" t="s">
        <v>100</v>
      </c>
      <c r="BZ68" s="32" t="s">
        <v>101</v>
      </c>
      <c r="CM68" s="5" t="str">
        <f>IF(CM56=CM62, "YES", "NO")</f>
        <v>YES</v>
      </c>
    </row>
    <row r="69" spans="1:91" x14ac:dyDescent="0.2">
      <c r="A69" s="34" t="s">
        <v>128</v>
      </c>
      <c r="B69" s="54" t="s">
        <v>129</v>
      </c>
      <c r="C69" s="83">
        <f>C60/(C59+C60)</f>
        <v>6.4370990820822988E-4</v>
      </c>
      <c r="D69" s="83">
        <f t="shared" ref="D69:BO69" si="33">D60/(D59+D60)</f>
        <v>1.9134731438834237E-4</v>
      </c>
      <c r="E69" s="83">
        <f t="shared" si="33"/>
        <v>1.9423161932897355E-4</v>
      </c>
      <c r="F69" s="83">
        <f t="shared" si="33"/>
        <v>1.3780915417276494E-3</v>
      </c>
      <c r="G69" s="83">
        <f t="shared" si="33"/>
        <v>1.2199631755685969E-3</v>
      </c>
      <c r="H69" s="83">
        <f t="shared" si="33"/>
        <v>8.2475534891671739E-4</v>
      </c>
      <c r="I69" s="83">
        <f t="shared" si="33"/>
        <v>1.9220395989142129E-4</v>
      </c>
      <c r="J69" s="83">
        <f t="shared" si="33"/>
        <v>4.9566944692912079E-4</v>
      </c>
      <c r="K69" s="83">
        <f t="shared" si="33"/>
        <v>1.0973709398636026E-3</v>
      </c>
      <c r="L69" s="83">
        <f t="shared" si="33"/>
        <v>1.615466170238837E-3</v>
      </c>
      <c r="M69" s="83">
        <f t="shared" si="33"/>
        <v>7.4452141841518992E-4</v>
      </c>
      <c r="N69" s="83">
        <f t="shared" si="33"/>
        <v>7.5817133353730604E-4</v>
      </c>
      <c r="O69" s="83">
        <f t="shared" si="33"/>
        <v>8.9496947708308616E-4</v>
      </c>
      <c r="P69" s="83">
        <f t="shared" si="33"/>
        <v>1.4531076076648428E-3</v>
      </c>
      <c r="Q69" s="83">
        <f t="shared" si="33"/>
        <v>9.7427303009385796E-4</v>
      </c>
      <c r="R69" s="83">
        <f t="shared" si="33"/>
        <v>1.039637745631844E-3</v>
      </c>
      <c r="S69" s="83">
        <f t="shared" si="33"/>
        <v>1.0720750846180253E-3</v>
      </c>
      <c r="T69" s="83">
        <f t="shared" si="33"/>
        <v>1.0541923232004191E-3</v>
      </c>
      <c r="U69" s="83">
        <f t="shared" si="33"/>
        <v>1.2195201000041586E-3</v>
      </c>
      <c r="V69" s="83">
        <f t="shared" si="33"/>
        <v>9.5013025650408792E-4</v>
      </c>
      <c r="W69" s="83">
        <f t="shared" si="33"/>
        <v>7.5156245963548592E-4</v>
      </c>
      <c r="X69" s="83">
        <f t="shared" si="33"/>
        <v>7.5153026191506801E-4</v>
      </c>
      <c r="Y69" s="83">
        <f t="shared" si="33"/>
        <v>7.4955002216371409E-4</v>
      </c>
      <c r="Z69" s="83">
        <f t="shared" si="33"/>
        <v>1.5749633010043436E-3</v>
      </c>
      <c r="AA69" s="83">
        <f t="shared" si="33"/>
        <v>1.6549304092687007E-3</v>
      </c>
      <c r="AB69" s="83">
        <f t="shared" si="33"/>
        <v>1.7789956995699703E-3</v>
      </c>
      <c r="AC69" s="83">
        <f t="shared" si="33"/>
        <v>7.1018668636440142E-4</v>
      </c>
      <c r="AD69" s="83">
        <f t="shared" si="33"/>
        <v>7.2389022530350267E-4</v>
      </c>
      <c r="AE69" s="83">
        <f t="shared" si="33"/>
        <v>6.8635935192725437E-4</v>
      </c>
      <c r="AF69" s="83">
        <f t="shared" si="33"/>
        <v>1.6927303006098061E-3</v>
      </c>
      <c r="AG69" s="83">
        <f t="shared" si="33"/>
        <v>1.6771678239558678E-3</v>
      </c>
      <c r="AH69" s="83">
        <f t="shared" si="33"/>
        <v>9.8773438971693525E-4</v>
      </c>
      <c r="AI69" s="83">
        <f t="shared" si="33"/>
        <v>9.0709754323689329E-2</v>
      </c>
      <c r="AJ69" s="83">
        <f t="shared" si="33"/>
        <v>4.3431744231210649E-2</v>
      </c>
      <c r="AK69" s="83">
        <f t="shared" si="33"/>
        <v>8.0235477855651258E-4</v>
      </c>
      <c r="AL69" s="83">
        <f t="shared" si="33"/>
        <v>5.9539535842777398E-4</v>
      </c>
      <c r="AM69" s="83">
        <f t="shared" si="33"/>
        <v>1.5958240073107013E-3</v>
      </c>
      <c r="AN69" s="83">
        <f t="shared" si="33"/>
        <v>1.1561334189945504E-3</v>
      </c>
      <c r="AO69" s="83">
        <f t="shared" si="33"/>
        <v>1.3152977283501927E-3</v>
      </c>
      <c r="AP69" s="83">
        <f t="shared" si="33"/>
        <v>1.3401646981356043E-3</v>
      </c>
      <c r="AQ69" s="83">
        <f t="shared" si="33"/>
        <v>1.3314826301465655E-3</v>
      </c>
      <c r="AR69" s="83">
        <f t="shared" si="33"/>
        <v>1.3836246276046891E-3</v>
      </c>
      <c r="AS69" s="83">
        <f t="shared" si="33"/>
        <v>1.0201333776691903E-3</v>
      </c>
      <c r="AT69" s="83">
        <f t="shared" si="33"/>
        <v>1.10795019816824E-3</v>
      </c>
      <c r="AU69" s="83">
        <f t="shared" si="33"/>
        <v>9.5759697336231296E-4</v>
      </c>
      <c r="AV69" s="83">
        <f t="shared" si="33"/>
        <v>1.1480916829853633E-3</v>
      </c>
      <c r="AW69" s="83">
        <f t="shared" si="33"/>
        <v>7.3097574704398247E-4</v>
      </c>
      <c r="AX69" s="83">
        <f t="shared" si="33"/>
        <v>1.0204210527745734E-3</v>
      </c>
      <c r="AY69" s="83">
        <f t="shared" si="33"/>
        <v>9.112862316256622E-4</v>
      </c>
      <c r="AZ69" s="83">
        <f t="shared" si="33"/>
        <v>9.2071888933196804E-4</v>
      </c>
      <c r="BA69" s="83">
        <f t="shared" si="33"/>
        <v>2.0218002530171583E-3</v>
      </c>
      <c r="BB69" s="83">
        <f t="shared" si="33"/>
        <v>0.1735009362006871</v>
      </c>
      <c r="BC69" s="83">
        <f t="shared" si="33"/>
        <v>9.7102536429558386E-4</v>
      </c>
      <c r="BD69" s="83">
        <f t="shared" si="33"/>
        <v>1.1547640994985942E-3</v>
      </c>
      <c r="BE69" s="83">
        <f t="shared" si="33"/>
        <v>1.0787159294904163E-3</v>
      </c>
      <c r="BF69" s="83">
        <f t="shared" si="33"/>
        <v>1.1587064479336535E-3</v>
      </c>
      <c r="BG69" s="83">
        <f t="shared" si="33"/>
        <v>1.0480268215533014E-3</v>
      </c>
      <c r="BH69" s="83">
        <f t="shared" si="33"/>
        <v>1.0563749915132616E-3</v>
      </c>
      <c r="BI69" s="83">
        <f t="shared" si="33"/>
        <v>9.8838358007339645E-4</v>
      </c>
      <c r="BJ69" s="83">
        <f t="shared" si="33"/>
        <v>9.6766480948862329E-4</v>
      </c>
      <c r="BK69" s="83">
        <f t="shared" si="33"/>
        <v>1.299587623727013E-3</v>
      </c>
      <c r="BL69" s="83">
        <f t="shared" si="33"/>
        <v>1.0855958707322343E-3</v>
      </c>
      <c r="BM69" s="83">
        <f t="shared" si="33"/>
        <v>1.0017251203880459E-3</v>
      </c>
      <c r="BN69" s="83">
        <f t="shared" si="33"/>
        <v>1.1066218125678324E-3</v>
      </c>
      <c r="BO69" s="83">
        <f t="shared" si="33"/>
        <v>1.1740361596799282E-3</v>
      </c>
      <c r="BP69" s="83">
        <f t="shared" ref="BP69:BX69" si="34">BP60/(BP59+BP60)</f>
        <v>1.0759427597948456E-3</v>
      </c>
      <c r="BQ69" s="83">
        <f t="shared" si="34"/>
        <v>9.9659932531914307E-4</v>
      </c>
      <c r="BR69" s="83">
        <f t="shared" si="34"/>
        <v>9.6055386934599174E-4</v>
      </c>
      <c r="BS69" s="83">
        <f t="shared" si="34"/>
        <v>7.4871141731199181E-4</v>
      </c>
      <c r="BT69" s="83">
        <f t="shared" si="34"/>
        <v>9.136073970753164E-4</v>
      </c>
      <c r="BU69" s="83">
        <f t="shared" si="34"/>
        <v>8.8851398858522134E-4</v>
      </c>
      <c r="BV69" s="83">
        <f t="shared" si="34"/>
        <v>7.8420888857903001E-4</v>
      </c>
      <c r="BW69" s="83">
        <f t="shared" si="34"/>
        <v>6.6123376865600528E-4</v>
      </c>
      <c r="BX69" s="84">
        <f>AVERAGE(I69:BW69)</f>
        <v>5.6033312877583957E-3</v>
      </c>
      <c r="BY69" s="40">
        <f>BX69-BX70</f>
        <v>1.2078142714162451E-4</v>
      </c>
      <c r="BZ69" s="41">
        <f>BX46*BY69</f>
        <v>0.10227357460628808</v>
      </c>
      <c r="CM69" s="85">
        <f>CM60/(CM59+CM60)</f>
        <v>1.1794585725627303E-3</v>
      </c>
    </row>
    <row r="70" spans="1:91" x14ac:dyDescent="0.2">
      <c r="A70" s="34" t="s">
        <v>130</v>
      </c>
      <c r="B70" s="54" t="s">
        <v>131</v>
      </c>
      <c r="C70" s="83">
        <f>C66/(C65+C66)</f>
        <v>5.1709767096653309E-4</v>
      </c>
      <c r="D70" s="83">
        <f t="shared" ref="D70:BO70" si="35">D66/(D65+D66)</f>
        <v>4.5184998853762763E-5</v>
      </c>
      <c r="E70" s="83">
        <f t="shared" si="35"/>
        <v>5.2975102703680955E-5</v>
      </c>
      <c r="F70" s="83">
        <f t="shared" si="35"/>
        <v>1.2422891788692447E-3</v>
      </c>
      <c r="G70" s="83">
        <f t="shared" si="35"/>
        <v>1.1029050107455405E-3</v>
      </c>
      <c r="H70" s="83">
        <f t="shared" si="35"/>
        <v>6.9812146470028629E-4</v>
      </c>
      <c r="I70" s="83">
        <f t="shared" si="35"/>
        <v>4.1521329281016215E-5</v>
      </c>
      <c r="J70" s="83">
        <f t="shared" si="35"/>
        <v>3.4660869471188327E-4</v>
      </c>
      <c r="K70" s="83">
        <f t="shared" si="35"/>
        <v>9.5884544793983415E-4</v>
      </c>
      <c r="L70" s="83">
        <f t="shared" si="35"/>
        <v>1.4771836174055598E-3</v>
      </c>
      <c r="M70" s="83">
        <f t="shared" si="35"/>
        <v>6.2323306480123106E-4</v>
      </c>
      <c r="N70" s="83">
        <f t="shared" si="35"/>
        <v>6.3552802945542291E-4</v>
      </c>
      <c r="O70" s="83">
        <f t="shared" si="35"/>
        <v>7.6140281184763165E-4</v>
      </c>
      <c r="P70" s="83">
        <f t="shared" si="35"/>
        <v>1.3428129977236692E-3</v>
      </c>
      <c r="Q70" s="83">
        <f t="shared" si="35"/>
        <v>8.5233940359221458E-4</v>
      </c>
      <c r="R70" s="83">
        <f t="shared" si="35"/>
        <v>9.0917745854314697E-4</v>
      </c>
      <c r="S70" s="83">
        <f t="shared" si="35"/>
        <v>9.5237578983059686E-4</v>
      </c>
      <c r="T70" s="83">
        <f t="shared" si="35"/>
        <v>9.3739884168549982E-4</v>
      </c>
      <c r="U70" s="83">
        <f t="shared" si="35"/>
        <v>1.1071211554776271E-3</v>
      </c>
      <c r="V70" s="83">
        <f t="shared" si="35"/>
        <v>8.2220203424747157E-4</v>
      </c>
      <c r="W70" s="83">
        <f t="shared" si="35"/>
        <v>6.3556735761857578E-4</v>
      </c>
      <c r="X70" s="83">
        <f t="shared" si="35"/>
        <v>6.2245259775081207E-4</v>
      </c>
      <c r="Y70" s="83">
        <f t="shared" si="35"/>
        <v>6.3472145618187926E-4</v>
      </c>
      <c r="Z70" s="83">
        <f t="shared" si="35"/>
        <v>1.4621467947895784E-3</v>
      </c>
      <c r="AA70" s="83">
        <f t="shared" si="35"/>
        <v>1.5388820217424491E-3</v>
      </c>
      <c r="AB70" s="83">
        <f t="shared" si="35"/>
        <v>1.6790164586485536E-3</v>
      </c>
      <c r="AC70" s="83">
        <f t="shared" si="35"/>
        <v>6.006956374697617E-4</v>
      </c>
      <c r="AD70" s="83">
        <f t="shared" si="35"/>
        <v>6.0954353054345914E-4</v>
      </c>
      <c r="AE70" s="83">
        <f t="shared" si="35"/>
        <v>5.4597841413977772E-4</v>
      </c>
      <c r="AF70" s="83">
        <f t="shared" si="35"/>
        <v>1.5758746190061034E-3</v>
      </c>
      <c r="AG70" s="83">
        <f t="shared" si="35"/>
        <v>1.5756002752943749E-3</v>
      </c>
      <c r="AH70" s="83">
        <f t="shared" si="35"/>
        <v>8.5368475772247977E-4</v>
      </c>
      <c r="AI70" s="83">
        <f t="shared" si="35"/>
        <v>9.063454071932206E-2</v>
      </c>
      <c r="AJ70" s="83">
        <f t="shared" si="35"/>
        <v>4.3332648722249949E-2</v>
      </c>
      <c r="AK70" s="83">
        <f t="shared" si="35"/>
        <v>6.7710057295387687E-4</v>
      </c>
      <c r="AL70" s="83">
        <f t="shared" si="35"/>
        <v>4.7363731865346782E-4</v>
      </c>
      <c r="AM70" s="83">
        <f t="shared" si="35"/>
        <v>1.4868215415353094E-3</v>
      </c>
      <c r="AN70" s="83">
        <f t="shared" si="35"/>
        <v>1.0435980574281447E-3</v>
      </c>
      <c r="AO70" s="83">
        <f t="shared" si="35"/>
        <v>1.2014382133497582E-3</v>
      </c>
      <c r="AP70" s="83">
        <f t="shared" si="35"/>
        <v>1.2309972223988426E-3</v>
      </c>
      <c r="AQ70" s="83">
        <f t="shared" si="35"/>
        <v>1.2126247463630367E-3</v>
      </c>
      <c r="AR70" s="83">
        <f t="shared" si="35"/>
        <v>1.2785987944468624E-3</v>
      </c>
      <c r="AS70" s="83">
        <f t="shared" si="35"/>
        <v>8.9517553562295247E-4</v>
      </c>
      <c r="AT70" s="83">
        <f t="shared" si="35"/>
        <v>9.9357499386196245E-4</v>
      </c>
      <c r="AU70" s="83">
        <f t="shared" si="35"/>
        <v>8.3893742841937723E-4</v>
      </c>
      <c r="AV70" s="83">
        <f t="shared" si="35"/>
        <v>1.0282704887446513E-3</v>
      </c>
      <c r="AW70" s="83">
        <f t="shared" si="35"/>
        <v>5.9681146228380048E-4</v>
      </c>
      <c r="AX70" s="83">
        <f t="shared" si="35"/>
        <v>8.8389231441168955E-4</v>
      </c>
      <c r="AY70" s="83">
        <f t="shared" si="35"/>
        <v>8.0765674487513891E-4</v>
      </c>
      <c r="AZ70" s="83">
        <f t="shared" si="35"/>
        <v>8.3333986542490567E-4</v>
      </c>
      <c r="BA70" s="83">
        <f t="shared" si="35"/>
        <v>1.9188906614816107E-3</v>
      </c>
      <c r="BB70" s="83">
        <f t="shared" si="35"/>
        <v>0.17340409594977274</v>
      </c>
      <c r="BC70" s="83">
        <f t="shared" si="35"/>
        <v>8.5429069537745945E-4</v>
      </c>
      <c r="BD70" s="83">
        <f t="shared" si="35"/>
        <v>1.022870814636669E-3</v>
      </c>
      <c r="BE70" s="83">
        <f t="shared" si="35"/>
        <v>9.4000584094107084E-4</v>
      </c>
      <c r="BF70" s="83">
        <f t="shared" si="35"/>
        <v>1.0190015326562241E-3</v>
      </c>
      <c r="BG70" s="83">
        <f t="shared" si="35"/>
        <v>9.2853130734700908E-4</v>
      </c>
      <c r="BH70" s="83">
        <f t="shared" si="35"/>
        <v>9.3079185643221317E-4</v>
      </c>
      <c r="BI70" s="83">
        <f t="shared" si="35"/>
        <v>8.4894940540060468E-4</v>
      </c>
      <c r="BJ70" s="83">
        <f t="shared" si="35"/>
        <v>8.3623183468771987E-4</v>
      </c>
      <c r="BK70" s="83">
        <f t="shared" si="35"/>
        <v>1.1603514253827147E-3</v>
      </c>
      <c r="BL70" s="83">
        <f t="shared" si="35"/>
        <v>9.6637843822273441E-4</v>
      </c>
      <c r="BM70" s="83">
        <f t="shared" si="35"/>
        <v>8.8422380317002545E-4</v>
      </c>
      <c r="BN70" s="83">
        <f t="shared" si="35"/>
        <v>9.9277677404448835E-4</v>
      </c>
      <c r="BO70" s="83">
        <f t="shared" si="35"/>
        <v>1.0518840052155293E-3</v>
      </c>
      <c r="BP70" s="83">
        <f t="shared" ref="BP70:BX70" si="36">BP66/(BP65+BP66)</f>
        <v>9.4151310739775318E-4</v>
      </c>
      <c r="BQ70" s="83">
        <f t="shared" si="36"/>
        <v>8.6227562405153746E-4</v>
      </c>
      <c r="BR70" s="83">
        <f t="shared" si="36"/>
        <v>8.2724332512724248E-4</v>
      </c>
      <c r="BS70" s="83">
        <f t="shared" si="36"/>
        <v>6.2391691351931268E-4</v>
      </c>
      <c r="BT70" s="83">
        <f t="shared" si="36"/>
        <v>7.9311184941035162E-4</v>
      </c>
      <c r="BU70" s="83">
        <f t="shared" si="36"/>
        <v>7.7103809716899088E-4</v>
      </c>
      <c r="BV70" s="83">
        <f t="shared" si="36"/>
        <v>6.5684457824148157E-4</v>
      </c>
      <c r="BW70" s="83">
        <f t="shared" si="36"/>
        <v>5.4404348184175727E-4</v>
      </c>
      <c r="BX70" s="84">
        <f>AVERAGE(I70:BW70)</f>
        <v>5.4825498606167712E-3</v>
      </c>
      <c r="BY70" s="43"/>
      <c r="BZ70" s="44"/>
      <c r="CM70" s="85">
        <f>CM66/(CM65+CM66)</f>
        <v>8.4714774485467601E-4</v>
      </c>
    </row>
    <row r="71" spans="1:91" x14ac:dyDescent="0.2">
      <c r="A71" s="34"/>
      <c r="B71" s="54"/>
      <c r="C71" s="83"/>
      <c r="D71" s="83"/>
      <c r="E71" s="83"/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  <c r="AA71" s="83"/>
      <c r="AB71" s="83"/>
      <c r="AC71" s="83"/>
      <c r="AD71" s="83"/>
      <c r="AE71" s="83"/>
      <c r="AF71" s="83"/>
      <c r="AG71" s="83"/>
      <c r="AH71" s="83"/>
      <c r="AI71" s="83"/>
      <c r="AJ71" s="83"/>
      <c r="AK71" s="83"/>
      <c r="AL71" s="83"/>
      <c r="AM71" s="83"/>
      <c r="AN71" s="83"/>
      <c r="AO71" s="83"/>
      <c r="AP71" s="83"/>
      <c r="AQ71" s="83"/>
      <c r="AR71" s="83"/>
      <c r="AS71" s="83"/>
      <c r="AT71" s="83"/>
      <c r="AU71" s="83"/>
      <c r="AV71" s="83"/>
      <c r="AW71" s="83"/>
      <c r="AX71" s="83"/>
      <c r="AY71" s="83"/>
      <c r="AZ71" s="83"/>
      <c r="BA71" s="83"/>
      <c r="BB71" s="83"/>
      <c r="BC71" s="83"/>
      <c r="BD71" s="83"/>
      <c r="BE71" s="83"/>
      <c r="BF71" s="83"/>
      <c r="BG71" s="83"/>
      <c r="BH71" s="83"/>
      <c r="BI71" s="83"/>
      <c r="BJ71" s="83"/>
      <c r="BK71" s="83"/>
      <c r="BL71" s="83"/>
      <c r="BM71" s="83"/>
      <c r="BN71" s="83"/>
      <c r="BO71" s="83"/>
      <c r="BP71" s="83"/>
      <c r="BQ71" s="83"/>
      <c r="BR71" s="83"/>
      <c r="BS71" s="83"/>
      <c r="BT71" s="83"/>
      <c r="BU71" s="83"/>
      <c r="BV71" s="83"/>
      <c r="BW71" s="83"/>
      <c r="BX71" s="84"/>
      <c r="BY71" s="43"/>
      <c r="BZ71" s="44"/>
    </row>
    <row r="72" spans="1:91" x14ac:dyDescent="0.2">
      <c r="A72" s="34" t="s">
        <v>132</v>
      </c>
      <c r="B72" s="54" t="s">
        <v>133</v>
      </c>
      <c r="C72" s="83">
        <f>C58/(C59+C60)</f>
        <v>5.6989472430407015E-2</v>
      </c>
      <c r="D72" s="83">
        <f t="shared" ref="D72:BO72" si="37">D58/(D59+D60)</f>
        <v>5.8999286062049773E-2</v>
      </c>
      <c r="E72" s="83">
        <f t="shared" si="37"/>
        <v>6.0457839038021315E-2</v>
      </c>
      <c r="F72" s="83">
        <f t="shared" si="37"/>
        <v>6.3344920813723185E-2</v>
      </c>
      <c r="G72" s="83">
        <f t="shared" si="37"/>
        <v>6.0656793980378529E-2</v>
      </c>
      <c r="H72" s="83">
        <f t="shared" si="37"/>
        <v>5.7223551450503861E-2</v>
      </c>
      <c r="I72" s="83">
        <f t="shared" si="37"/>
        <v>5.8306164714634109E-2</v>
      </c>
      <c r="J72" s="83">
        <f t="shared" si="37"/>
        <v>5.4274883037152555E-2</v>
      </c>
      <c r="K72" s="83">
        <f t="shared" si="37"/>
        <v>5.8917026670101416E-2</v>
      </c>
      <c r="L72" s="83">
        <f t="shared" si="37"/>
        <v>5.5590242699900566E-2</v>
      </c>
      <c r="M72" s="83">
        <f t="shared" si="37"/>
        <v>6.1429186600858103E-2</v>
      </c>
      <c r="N72" s="83">
        <f t="shared" si="37"/>
        <v>5.5571891076158557E-2</v>
      </c>
      <c r="O72" s="83">
        <f t="shared" si="37"/>
        <v>5.8321022143981119E-2</v>
      </c>
      <c r="P72" s="83">
        <f t="shared" si="37"/>
        <v>5.4297774971769804E-2</v>
      </c>
      <c r="Q72" s="83">
        <f t="shared" si="37"/>
        <v>6.8163258142581867E-2</v>
      </c>
      <c r="R72" s="83">
        <f t="shared" si="37"/>
        <v>6.4551415527444631E-2</v>
      </c>
      <c r="S72" s="83">
        <f t="shared" si="37"/>
        <v>6.4707125386746708E-2</v>
      </c>
      <c r="T72" s="83">
        <f t="shared" si="37"/>
        <v>6.3917720346899784E-2</v>
      </c>
      <c r="U72" s="83">
        <f t="shared" si="37"/>
        <v>6.0164869268003275E-2</v>
      </c>
      <c r="V72" s="83">
        <f t="shared" si="37"/>
        <v>6.0552329487812459E-2</v>
      </c>
      <c r="W72" s="83">
        <f t="shared" si="37"/>
        <v>6.5755193221340741E-2</v>
      </c>
      <c r="X72" s="83">
        <f t="shared" si="37"/>
        <v>5.7095340548674003E-2</v>
      </c>
      <c r="Y72" s="83">
        <f t="shared" si="37"/>
        <v>6.3667689896331564E-2</v>
      </c>
      <c r="Z72" s="83">
        <f t="shared" si="37"/>
        <v>5.7733843986871751E-2</v>
      </c>
      <c r="AA72" s="83">
        <f t="shared" si="37"/>
        <v>6.194003955192201E-2</v>
      </c>
      <c r="AB72" s="83">
        <f t="shared" si="37"/>
        <v>6.0013555129540166E-2</v>
      </c>
      <c r="AC72" s="83">
        <f t="shared" si="37"/>
        <v>5.6470544561527565E-2</v>
      </c>
      <c r="AD72" s="83">
        <f t="shared" si="37"/>
        <v>5.9053754767879732E-2</v>
      </c>
      <c r="AE72" s="83">
        <f t="shared" si="37"/>
        <v>6.153007873577894E-2</v>
      </c>
      <c r="AF72" s="83">
        <f t="shared" si="37"/>
        <v>6.0197805898401235E-2</v>
      </c>
      <c r="AG72" s="83">
        <f t="shared" si="37"/>
        <v>6.5858049539052277E-2</v>
      </c>
      <c r="AH72" s="83">
        <f t="shared" si="37"/>
        <v>6.0680277846429612E-2</v>
      </c>
      <c r="AI72" s="83">
        <f t="shared" si="37"/>
        <v>5.7321778392104124E-2</v>
      </c>
      <c r="AJ72" s="83">
        <f t="shared" si="37"/>
        <v>5.4462449385642334E-2</v>
      </c>
      <c r="AK72" s="83">
        <f t="shared" si="37"/>
        <v>6.2669033137159116E-2</v>
      </c>
      <c r="AL72" s="83">
        <f t="shared" si="37"/>
        <v>5.5948743929370257E-2</v>
      </c>
      <c r="AM72" s="83">
        <f t="shared" si="37"/>
        <v>6.0970383059576541E-2</v>
      </c>
      <c r="AN72" s="83">
        <f t="shared" si="37"/>
        <v>6.5661931118103284E-2</v>
      </c>
      <c r="AO72" s="83">
        <f t="shared" si="37"/>
        <v>5.7031074816264252E-2</v>
      </c>
      <c r="AP72" s="83">
        <f t="shared" si="37"/>
        <v>5.9046037587881003E-2</v>
      </c>
      <c r="AQ72" s="83">
        <f t="shared" si="37"/>
        <v>6.3818250228468223E-2</v>
      </c>
      <c r="AR72" s="83">
        <f t="shared" si="37"/>
        <v>5.7839443613984305E-2</v>
      </c>
      <c r="AS72" s="83">
        <f t="shared" si="37"/>
        <v>6.0572913632729514E-2</v>
      </c>
      <c r="AT72" s="83">
        <f t="shared" si="37"/>
        <v>6.2778698292568352E-2</v>
      </c>
      <c r="AU72" s="83">
        <f t="shared" si="37"/>
        <v>6.2157072995418797E-2</v>
      </c>
      <c r="AV72" s="83">
        <f t="shared" si="37"/>
        <v>6.2226389074304764E-2</v>
      </c>
      <c r="AW72" s="83">
        <f t="shared" si="37"/>
        <v>3.4700816481807284E-2</v>
      </c>
      <c r="AX72" s="83">
        <f t="shared" si="37"/>
        <v>5.7895146536298354E-2</v>
      </c>
      <c r="AY72" s="83">
        <f t="shared" si="37"/>
        <v>6.4153775477308037E-2</v>
      </c>
      <c r="AZ72" s="83">
        <f t="shared" si="37"/>
        <v>6.5476851387541668E-2</v>
      </c>
      <c r="BA72" s="83">
        <f t="shared" si="37"/>
        <v>5.7999042676872614E-2</v>
      </c>
      <c r="BB72" s="83">
        <f t="shared" si="37"/>
        <v>4.9822214185859179E-2</v>
      </c>
      <c r="BC72" s="83">
        <f t="shared" si="37"/>
        <v>6.4938236511842565E-2</v>
      </c>
      <c r="BD72" s="83">
        <f t="shared" si="37"/>
        <v>6.1175815416588987E-2</v>
      </c>
      <c r="BE72" s="83">
        <f t="shared" si="37"/>
        <v>5.9592923457981208E-2</v>
      </c>
      <c r="BF72" s="83">
        <f t="shared" si="37"/>
        <v>5.6620700943738923E-2</v>
      </c>
      <c r="BG72" s="83">
        <f t="shared" si="37"/>
        <v>6.0953324886598756E-2</v>
      </c>
      <c r="BH72" s="83">
        <f t="shared" si="37"/>
        <v>5.7267362024234464E-2</v>
      </c>
      <c r="BI72" s="83">
        <f t="shared" si="37"/>
        <v>6.3901977343152519E-2</v>
      </c>
      <c r="BJ72" s="83">
        <f t="shared" si="37"/>
        <v>6.1011543822634733E-2</v>
      </c>
      <c r="BK72" s="83">
        <f t="shared" si="37"/>
        <v>6.2125282363383001E-2</v>
      </c>
      <c r="BL72" s="83">
        <f t="shared" si="37"/>
        <v>6.2585088795411012E-2</v>
      </c>
      <c r="BM72" s="83">
        <f t="shared" si="37"/>
        <v>6.0206523103542159E-2</v>
      </c>
      <c r="BN72" s="83">
        <f t="shared" si="37"/>
        <v>6.202915066417037E-2</v>
      </c>
      <c r="BO72" s="83">
        <f t="shared" si="37"/>
        <v>6.2878046384867575E-2</v>
      </c>
      <c r="BP72" s="83">
        <f t="shared" ref="BP72:BX72" si="38">BP58/(BP59+BP60)</f>
        <v>5.8044377887532389E-2</v>
      </c>
      <c r="BQ72" s="83">
        <f t="shared" si="38"/>
        <v>6.239959414709767E-2</v>
      </c>
      <c r="BR72" s="83">
        <f t="shared" si="38"/>
        <v>5.7516664404662327E-2</v>
      </c>
      <c r="BS72" s="83">
        <f t="shared" si="38"/>
        <v>5.3748027631870345E-2</v>
      </c>
      <c r="BT72" s="83">
        <f t="shared" si="38"/>
        <v>6.5176446234139415E-2</v>
      </c>
      <c r="BU72" s="83">
        <f t="shared" si="38"/>
        <v>6.532967763434247E-2</v>
      </c>
      <c r="BV72" s="83">
        <f t="shared" si="38"/>
        <v>5.7845012601131555E-2</v>
      </c>
      <c r="BW72" s="83">
        <f t="shared" si="38"/>
        <v>6.0686263515788853E-2</v>
      </c>
      <c r="BX72" s="84">
        <f>AVERAGE(I72:BW72)</f>
        <v>5.9960375664802494E-2</v>
      </c>
      <c r="BY72" s="40">
        <f>BX72-BX73</f>
        <v>1.5239695225542443E-2</v>
      </c>
      <c r="BZ72" s="41">
        <f>BX46*BY72</f>
        <v>12.904451814425247</v>
      </c>
      <c r="CM72" s="85">
        <f>CM58/(CM59+CM60)</f>
        <v>6.1782380719838915E-2</v>
      </c>
    </row>
    <row r="73" spans="1:91" x14ac:dyDescent="0.2">
      <c r="A73" s="34" t="s">
        <v>134</v>
      </c>
      <c r="B73" s="54" t="s">
        <v>135</v>
      </c>
      <c r="C73" s="83">
        <f>C64/(C65+C66)</f>
        <v>4.2653720340720944E-2</v>
      </c>
      <c r="D73" s="83">
        <f t="shared" ref="D73:BO73" si="39">D64/(D65+D66)</f>
        <v>4.2498809266589305E-2</v>
      </c>
      <c r="E73" s="83">
        <f t="shared" si="39"/>
        <v>4.5253953266072879E-2</v>
      </c>
      <c r="F73" s="83">
        <f t="shared" si="39"/>
        <v>4.673572467490409E-2</v>
      </c>
      <c r="G73" s="83">
        <f t="shared" si="39"/>
        <v>4.4081379430137624E-2</v>
      </c>
      <c r="H73" s="83">
        <f t="shared" si="39"/>
        <v>4.2048015208624182E-2</v>
      </c>
      <c r="I73" s="83">
        <f t="shared" si="39"/>
        <v>4.264099331805777E-2</v>
      </c>
      <c r="J73" s="83">
        <f t="shared" si="39"/>
        <v>4.1614558533880894E-2</v>
      </c>
      <c r="K73" s="83">
        <f t="shared" si="39"/>
        <v>4.5132681992901887E-2</v>
      </c>
      <c r="L73" s="83">
        <f t="shared" si="39"/>
        <v>4.1645451245723518E-2</v>
      </c>
      <c r="M73" s="83">
        <f t="shared" si="39"/>
        <v>4.4782298408574395E-2</v>
      </c>
      <c r="N73" s="83">
        <f t="shared" si="39"/>
        <v>4.1356795311969931E-2</v>
      </c>
      <c r="O73" s="83">
        <f t="shared" si="39"/>
        <v>4.3151839298464639E-2</v>
      </c>
      <c r="P73" s="83">
        <f t="shared" si="39"/>
        <v>4.1509568636983026E-2</v>
      </c>
      <c r="Q73" s="83">
        <f t="shared" si="39"/>
        <v>4.8171969235948853E-2</v>
      </c>
      <c r="R73" s="83">
        <f t="shared" si="39"/>
        <v>4.8787173132250304E-2</v>
      </c>
      <c r="S73" s="83">
        <f t="shared" si="39"/>
        <v>4.7991777215155865E-2</v>
      </c>
      <c r="T73" s="83">
        <f t="shared" si="39"/>
        <v>4.6729005454245728E-2</v>
      </c>
      <c r="U73" s="83">
        <f t="shared" si="39"/>
        <v>4.5406523256432615E-2</v>
      </c>
      <c r="V73" s="83">
        <f t="shared" si="39"/>
        <v>4.5016816579841884E-2</v>
      </c>
      <c r="W73" s="83">
        <f t="shared" si="39"/>
        <v>4.8827940603981129E-2</v>
      </c>
      <c r="X73" s="83">
        <f t="shared" si="39"/>
        <v>4.3297508740095858E-2</v>
      </c>
      <c r="Y73" s="83">
        <f t="shared" si="39"/>
        <v>4.6943679548167562E-2</v>
      </c>
      <c r="Z73" s="83">
        <f t="shared" si="39"/>
        <v>4.278453382984608E-2</v>
      </c>
      <c r="AA73" s="83">
        <f t="shared" si="39"/>
        <v>4.5145448179592047E-2</v>
      </c>
      <c r="AB73" s="83">
        <f t="shared" si="39"/>
        <v>4.5244611042173977E-2</v>
      </c>
      <c r="AC73" s="83">
        <f t="shared" si="39"/>
        <v>4.3117734575397644E-2</v>
      </c>
      <c r="AD73" s="83">
        <f t="shared" si="39"/>
        <v>4.4747930846126667E-2</v>
      </c>
      <c r="AE73" s="83">
        <f t="shared" si="39"/>
        <v>4.5314495715094404E-2</v>
      </c>
      <c r="AF73" s="83">
        <f t="shared" si="39"/>
        <v>4.4782378319107662E-2</v>
      </c>
      <c r="AG73" s="83">
        <f t="shared" si="39"/>
        <v>4.9129999027536835E-2</v>
      </c>
      <c r="AH73" s="83">
        <f t="shared" si="39"/>
        <v>4.5899962516736129E-2</v>
      </c>
      <c r="AI73" s="83">
        <f t="shared" si="39"/>
        <v>4.3242126653421947E-2</v>
      </c>
      <c r="AJ73" s="83">
        <f t="shared" si="39"/>
        <v>4.1567311674157913E-2</v>
      </c>
      <c r="AK73" s="83">
        <f t="shared" si="39"/>
        <v>4.7164743527566798E-2</v>
      </c>
      <c r="AL73" s="83">
        <f t="shared" si="39"/>
        <v>4.167656471383404E-2</v>
      </c>
      <c r="AM73" s="83">
        <f t="shared" si="39"/>
        <v>4.5347685235846084E-2</v>
      </c>
      <c r="AN73" s="83">
        <f t="shared" si="39"/>
        <v>4.8731645856227281E-2</v>
      </c>
      <c r="AO73" s="83">
        <f t="shared" si="39"/>
        <v>4.3355502169197049E-2</v>
      </c>
      <c r="AP73" s="83">
        <f t="shared" si="39"/>
        <v>4.4150927837099549E-2</v>
      </c>
      <c r="AQ73" s="83">
        <f t="shared" si="39"/>
        <v>4.663095468898687E-2</v>
      </c>
      <c r="AR73" s="83">
        <f t="shared" si="39"/>
        <v>4.3395975307990352E-2</v>
      </c>
      <c r="AS73" s="83">
        <f t="shared" si="39"/>
        <v>4.4733481518155815E-2</v>
      </c>
      <c r="AT73" s="83">
        <f t="shared" si="39"/>
        <v>4.58374572939894E-2</v>
      </c>
      <c r="AU73" s="83">
        <f t="shared" si="39"/>
        <v>4.565861500011157E-2</v>
      </c>
      <c r="AV73" s="83">
        <f t="shared" si="39"/>
        <v>4.7492785929091126E-2</v>
      </c>
      <c r="AW73" s="83">
        <f t="shared" si="39"/>
        <v>2.7592169818485116E-2</v>
      </c>
      <c r="AX73" s="83">
        <f t="shared" si="39"/>
        <v>4.3002909577052509E-2</v>
      </c>
      <c r="AY73" s="83">
        <f t="shared" si="39"/>
        <v>4.8286989374227492E-2</v>
      </c>
      <c r="AZ73" s="83">
        <f t="shared" si="39"/>
        <v>4.875598089087433E-2</v>
      </c>
      <c r="BA73" s="83">
        <f t="shared" si="39"/>
        <v>4.3768707381803718E-2</v>
      </c>
      <c r="BB73" s="83">
        <f t="shared" si="39"/>
        <v>3.7754309072874984E-2</v>
      </c>
      <c r="BC73" s="83">
        <f t="shared" si="39"/>
        <v>4.7810333620876472E-2</v>
      </c>
      <c r="BD73" s="83">
        <f t="shared" si="39"/>
        <v>4.6870777285026331E-2</v>
      </c>
      <c r="BE73" s="83">
        <f t="shared" si="39"/>
        <v>4.5266470202543929E-2</v>
      </c>
      <c r="BF73" s="83">
        <f t="shared" si="39"/>
        <v>4.2508879448678427E-2</v>
      </c>
      <c r="BG73" s="83">
        <f t="shared" si="39"/>
        <v>4.600497129013506E-2</v>
      </c>
      <c r="BH73" s="83">
        <f t="shared" si="39"/>
        <v>4.3655501652241697E-2</v>
      </c>
      <c r="BI73" s="83">
        <f t="shared" si="39"/>
        <v>4.6814145775489688E-2</v>
      </c>
      <c r="BJ73" s="83">
        <f t="shared" si="39"/>
        <v>4.5675689338598613E-2</v>
      </c>
      <c r="BK73" s="83">
        <f t="shared" si="39"/>
        <v>4.6313656623454082E-2</v>
      </c>
      <c r="BL73" s="83">
        <f t="shared" si="39"/>
        <v>4.7135586216161152E-2</v>
      </c>
      <c r="BM73" s="83">
        <f t="shared" si="39"/>
        <v>4.432712050228458E-2</v>
      </c>
      <c r="BN73" s="83">
        <f t="shared" si="39"/>
        <v>4.5380482663506611E-2</v>
      </c>
      <c r="BO73" s="83">
        <f t="shared" si="39"/>
        <v>4.6543009176435418E-2</v>
      </c>
      <c r="BP73" s="83">
        <f t="shared" ref="BP73:BX73" si="40">BP64/(BP65+BP66)</f>
        <v>4.2509907221883275E-2</v>
      </c>
      <c r="BQ73" s="83">
        <f t="shared" si="40"/>
        <v>4.4710155726507099E-2</v>
      </c>
      <c r="BR73" s="83">
        <f t="shared" si="40"/>
        <v>4.2390878085896318E-2</v>
      </c>
      <c r="BS73" s="83">
        <f t="shared" si="40"/>
        <v>4.1425412407639389E-2</v>
      </c>
      <c r="BT73" s="83">
        <f t="shared" si="40"/>
        <v>4.7655660328490654E-2</v>
      </c>
      <c r="BU73" s="83">
        <f t="shared" si="40"/>
        <v>4.8173635502523328E-2</v>
      </c>
      <c r="BV73" s="83">
        <f t="shared" si="40"/>
        <v>4.2052960211900609E-2</v>
      </c>
      <c r="BW73" s="83">
        <f t="shared" si="40"/>
        <v>4.5739838064868782E-2</v>
      </c>
      <c r="BX73" s="84">
        <f>AVERAGE(I73:BW73)</f>
        <v>4.4720680439260051E-2</v>
      </c>
      <c r="BY73" s="43"/>
      <c r="BZ73" s="44"/>
      <c r="CM73" s="85">
        <f>CM64/(CM65+CM66)</f>
        <v>4.4998206697219975E-2</v>
      </c>
    </row>
    <row r="74" spans="1:91" x14ac:dyDescent="0.2">
      <c r="A74" s="86"/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  <c r="AA74" s="83"/>
      <c r="AB74" s="83"/>
      <c r="AC74" s="83"/>
      <c r="AD74" s="83"/>
      <c r="AE74" s="83"/>
      <c r="AF74" s="83"/>
      <c r="AG74" s="83"/>
      <c r="AH74" s="83"/>
      <c r="AI74" s="83"/>
      <c r="AJ74" s="83"/>
      <c r="AK74" s="83"/>
      <c r="AL74" s="83"/>
      <c r="AM74" s="83"/>
      <c r="AN74" s="83"/>
      <c r="AO74" s="83"/>
      <c r="AP74" s="83"/>
      <c r="AQ74" s="83"/>
      <c r="AR74" s="83"/>
      <c r="AS74" s="83"/>
      <c r="AT74" s="83"/>
      <c r="AU74" s="83"/>
      <c r="AV74" s="83"/>
      <c r="AW74" s="83"/>
      <c r="AX74" s="83"/>
      <c r="AY74" s="83"/>
      <c r="AZ74" s="83"/>
      <c r="BA74" s="83"/>
      <c r="BB74" s="83"/>
      <c r="BC74" s="83"/>
      <c r="BD74" s="83"/>
      <c r="BE74" s="83"/>
      <c r="BF74" s="83"/>
      <c r="BG74" s="83"/>
      <c r="BH74" s="83"/>
      <c r="BI74" s="83"/>
      <c r="BJ74" s="83"/>
      <c r="BK74" s="83"/>
      <c r="BL74" s="83"/>
      <c r="BM74" s="83"/>
      <c r="BN74" s="83"/>
      <c r="BO74" s="83"/>
      <c r="BP74" s="83"/>
      <c r="BQ74" s="83"/>
      <c r="BR74" s="83"/>
      <c r="BS74" s="83"/>
      <c r="BT74" s="83"/>
      <c r="BU74" s="83"/>
      <c r="BV74" s="83"/>
      <c r="BW74" s="83"/>
      <c r="BX74" s="87"/>
      <c r="BY74" s="12"/>
      <c r="BZ74" s="46"/>
    </row>
    <row r="75" spans="1:91" x14ac:dyDescent="0.2">
      <c r="A75" s="34" t="s">
        <v>136</v>
      </c>
      <c r="B75" s="54" t="s">
        <v>137</v>
      </c>
      <c r="C75" s="83">
        <f>C59/(C60+C59)</f>
        <v>0.99935629009179172</v>
      </c>
      <c r="D75" s="83">
        <f t="shared" ref="D75:BO75" si="41">D59/(D60+D59)</f>
        <v>0.9998086526856117</v>
      </c>
      <c r="E75" s="83">
        <f t="shared" si="41"/>
        <v>0.99980576838067114</v>
      </c>
      <c r="F75" s="83">
        <f t="shared" si="41"/>
        <v>0.99862190845827248</v>
      </c>
      <c r="G75" s="83">
        <f t="shared" si="41"/>
        <v>0.99878003682443151</v>
      </c>
      <c r="H75" s="83">
        <f t="shared" si="41"/>
        <v>0.99917524465108332</v>
      </c>
      <c r="I75" s="83">
        <f t="shared" si="41"/>
        <v>0.99980779604010861</v>
      </c>
      <c r="J75" s="83">
        <f t="shared" si="41"/>
        <v>0.99950433055307086</v>
      </c>
      <c r="K75" s="83">
        <f t="shared" si="41"/>
        <v>0.99890262906013638</v>
      </c>
      <c r="L75" s="83">
        <f t="shared" si="41"/>
        <v>0.99838453382976111</v>
      </c>
      <c r="M75" s="83">
        <f t="shared" si="41"/>
        <v>0.99925547858158481</v>
      </c>
      <c r="N75" s="83">
        <f t="shared" si="41"/>
        <v>0.99924182866646261</v>
      </c>
      <c r="O75" s="83">
        <f t="shared" si="41"/>
        <v>0.99910503052291688</v>
      </c>
      <c r="P75" s="83">
        <f t="shared" si="41"/>
        <v>0.99854689239233518</v>
      </c>
      <c r="Q75" s="83">
        <f t="shared" si="41"/>
        <v>0.99902572696990621</v>
      </c>
      <c r="R75" s="83">
        <f t="shared" si="41"/>
        <v>0.99896036225436813</v>
      </c>
      <c r="S75" s="83">
        <f t="shared" si="41"/>
        <v>0.99892792491538196</v>
      </c>
      <c r="T75" s="83">
        <f t="shared" si="41"/>
        <v>0.99894580767679952</v>
      </c>
      <c r="U75" s="83">
        <f t="shared" si="41"/>
        <v>0.99878047989999585</v>
      </c>
      <c r="V75" s="83">
        <f t="shared" si="41"/>
        <v>0.99904986974349597</v>
      </c>
      <c r="W75" s="83">
        <f t="shared" si="41"/>
        <v>0.99924843754036452</v>
      </c>
      <c r="X75" s="83">
        <f t="shared" si="41"/>
        <v>0.9992484697380849</v>
      </c>
      <c r="Y75" s="83">
        <f t="shared" si="41"/>
        <v>0.9992504499778363</v>
      </c>
      <c r="Z75" s="83">
        <f t="shared" si="41"/>
        <v>0.99842503669899574</v>
      </c>
      <c r="AA75" s="83">
        <f t="shared" si="41"/>
        <v>0.99834506959073133</v>
      </c>
      <c r="AB75" s="83">
        <f t="shared" si="41"/>
        <v>0.99822100430043015</v>
      </c>
      <c r="AC75" s="83">
        <f t="shared" si="41"/>
        <v>0.99928981331363553</v>
      </c>
      <c r="AD75" s="83">
        <f t="shared" si="41"/>
        <v>0.99927610977469661</v>
      </c>
      <c r="AE75" s="83">
        <f t="shared" si="41"/>
        <v>0.99931364064807271</v>
      </c>
      <c r="AF75" s="83">
        <f t="shared" si="41"/>
        <v>0.99830726969939021</v>
      </c>
      <c r="AG75" s="83">
        <f t="shared" si="41"/>
        <v>0.99832283217604412</v>
      </c>
      <c r="AH75" s="83">
        <f t="shared" si="41"/>
        <v>0.99901226561028311</v>
      </c>
      <c r="AI75" s="83">
        <f t="shared" si="41"/>
        <v>0.90929024567631067</v>
      </c>
      <c r="AJ75" s="83">
        <f t="shared" si="41"/>
        <v>0.95656825576878934</v>
      </c>
      <c r="AK75" s="83">
        <f t="shared" si="41"/>
        <v>0.9991976452214435</v>
      </c>
      <c r="AL75" s="83">
        <f t="shared" si="41"/>
        <v>0.99940460464157221</v>
      </c>
      <c r="AM75" s="83">
        <f t="shared" si="41"/>
        <v>0.99840417599268927</v>
      </c>
      <c r="AN75" s="83">
        <f t="shared" si="41"/>
        <v>0.99884386658100544</v>
      </c>
      <c r="AO75" s="83">
        <f t="shared" si="41"/>
        <v>0.99868470227164974</v>
      </c>
      <c r="AP75" s="83">
        <f t="shared" si="41"/>
        <v>0.99865983530186431</v>
      </c>
      <c r="AQ75" s="83">
        <f t="shared" si="41"/>
        <v>0.9986685173698534</v>
      </c>
      <c r="AR75" s="83">
        <f t="shared" si="41"/>
        <v>0.99861637537239534</v>
      </c>
      <c r="AS75" s="83">
        <f t="shared" si="41"/>
        <v>0.99897986662233085</v>
      </c>
      <c r="AT75" s="83">
        <f t="shared" si="41"/>
        <v>0.99889204980183177</v>
      </c>
      <c r="AU75" s="83">
        <f t="shared" si="41"/>
        <v>0.9990424030266376</v>
      </c>
      <c r="AV75" s="83">
        <f t="shared" si="41"/>
        <v>0.99885190831701465</v>
      </c>
      <c r="AW75" s="83">
        <f t="shared" si="41"/>
        <v>0.99926902425295605</v>
      </c>
      <c r="AX75" s="83">
        <f t="shared" si="41"/>
        <v>0.99897957894722544</v>
      </c>
      <c r="AY75" s="83">
        <f t="shared" si="41"/>
        <v>0.99908871376837438</v>
      </c>
      <c r="AZ75" s="83">
        <f t="shared" si="41"/>
        <v>0.99907928111066813</v>
      </c>
      <c r="BA75" s="83">
        <f t="shared" si="41"/>
        <v>0.99797819974698287</v>
      </c>
      <c r="BB75" s="83">
        <f t="shared" si="41"/>
        <v>0.82649906379931293</v>
      </c>
      <c r="BC75" s="83">
        <f t="shared" si="41"/>
        <v>0.9990289746357045</v>
      </c>
      <c r="BD75" s="83">
        <f t="shared" si="41"/>
        <v>0.99884523590050134</v>
      </c>
      <c r="BE75" s="83">
        <f t="shared" si="41"/>
        <v>0.99892128407050962</v>
      </c>
      <c r="BF75" s="83">
        <f t="shared" si="41"/>
        <v>0.99884129355206641</v>
      </c>
      <c r="BG75" s="83">
        <f t="shared" si="41"/>
        <v>0.99895197317844664</v>
      </c>
      <c r="BH75" s="83">
        <f t="shared" si="41"/>
        <v>0.99894362500848677</v>
      </c>
      <c r="BI75" s="83">
        <f t="shared" si="41"/>
        <v>0.99901161641992664</v>
      </c>
      <c r="BJ75" s="83">
        <f t="shared" si="41"/>
        <v>0.99903233519051138</v>
      </c>
      <c r="BK75" s="83">
        <f t="shared" si="41"/>
        <v>0.99870041237627294</v>
      </c>
      <c r="BL75" s="83">
        <f t="shared" si="41"/>
        <v>0.9989144041292678</v>
      </c>
      <c r="BM75" s="83">
        <f t="shared" si="41"/>
        <v>0.9989982748796119</v>
      </c>
      <c r="BN75" s="83">
        <f t="shared" si="41"/>
        <v>0.99889337818743207</v>
      </c>
      <c r="BO75" s="83">
        <f t="shared" si="41"/>
        <v>0.99882596384032007</v>
      </c>
      <c r="BP75" s="83">
        <f t="shared" ref="BP75:BX75" si="42">BP59/(BP60+BP59)</f>
        <v>0.99892405724020505</v>
      </c>
      <c r="BQ75" s="83">
        <f t="shared" si="42"/>
        <v>0.99900340067468085</v>
      </c>
      <c r="BR75" s="83">
        <f t="shared" si="42"/>
        <v>0.99903944613065399</v>
      </c>
      <c r="BS75" s="83">
        <f t="shared" si="42"/>
        <v>0.99925128858268797</v>
      </c>
      <c r="BT75" s="83">
        <f t="shared" si="42"/>
        <v>0.99908639260292464</v>
      </c>
      <c r="BU75" s="83">
        <f t="shared" si="42"/>
        <v>0.99911148601141486</v>
      </c>
      <c r="BV75" s="83">
        <f t="shared" si="42"/>
        <v>0.99921579111142089</v>
      </c>
      <c r="BW75" s="83">
        <f t="shared" si="42"/>
        <v>0.99933876623134399</v>
      </c>
      <c r="BX75" s="84">
        <f>AVERAGE(I75:BW75)</f>
        <v>0.99439666871224164</v>
      </c>
      <c r="BY75" s="40">
        <f>BX75-BX76</f>
        <v>-1.2078142714155859E-4</v>
      </c>
      <c r="BZ75" s="41">
        <f>BX59*BY75</f>
        <v>-0.10171257973501049</v>
      </c>
      <c r="CM75" s="85">
        <f>CM59/(CM60+CM59)</f>
        <v>0.99882054142743726</v>
      </c>
    </row>
    <row r="76" spans="1:91" x14ac:dyDescent="0.2">
      <c r="A76" s="34" t="s">
        <v>138</v>
      </c>
      <c r="B76" s="54" t="s">
        <v>139</v>
      </c>
      <c r="C76" s="83">
        <f>C65/(C66+C65)</f>
        <v>0.99948290232903358</v>
      </c>
      <c r="D76" s="83">
        <f>D65/(D66+D65)</f>
        <v>0.99995481500114625</v>
      </c>
      <c r="E76" s="83">
        <f t="shared" ref="E76:BP76" si="43">E65/(E66+E65)</f>
        <v>0.99994702489729625</v>
      </c>
      <c r="F76" s="83">
        <f t="shared" si="43"/>
        <v>0.99875771082113074</v>
      </c>
      <c r="G76" s="83">
        <f t="shared" si="43"/>
        <v>0.99889709498925439</v>
      </c>
      <c r="H76" s="83">
        <f t="shared" si="43"/>
        <v>0.99930187853529973</v>
      </c>
      <c r="I76" s="83">
        <f t="shared" si="43"/>
        <v>0.99995847867071908</v>
      </c>
      <c r="J76" s="83">
        <f t="shared" si="43"/>
        <v>0.99965339130528807</v>
      </c>
      <c r="K76" s="83">
        <f t="shared" si="43"/>
        <v>0.99904115455206022</v>
      </c>
      <c r="L76" s="83">
        <f t="shared" si="43"/>
        <v>0.99852281638259444</v>
      </c>
      <c r="M76" s="83">
        <f t="shared" si="43"/>
        <v>0.99937676693519872</v>
      </c>
      <c r="N76" s="83">
        <f t="shared" si="43"/>
        <v>0.99936447197054457</v>
      </c>
      <c r="O76" s="83">
        <f t="shared" si="43"/>
        <v>0.99923859718815244</v>
      </c>
      <c r="P76" s="83">
        <f t="shared" si="43"/>
        <v>0.99865718700227635</v>
      </c>
      <c r="Q76" s="83">
        <f t="shared" si="43"/>
        <v>0.99914766059640781</v>
      </c>
      <c r="R76" s="83">
        <f t="shared" si="43"/>
        <v>0.99909082254145676</v>
      </c>
      <c r="S76" s="83">
        <f t="shared" si="43"/>
        <v>0.99904762421016946</v>
      </c>
      <c r="T76" s="83">
        <f t="shared" si="43"/>
        <v>0.99906260115831447</v>
      </c>
      <c r="U76" s="83">
        <f t="shared" si="43"/>
        <v>0.99889287884452227</v>
      </c>
      <c r="V76" s="83">
        <f t="shared" si="43"/>
        <v>0.99917779796575257</v>
      </c>
      <c r="W76" s="83">
        <f t="shared" si="43"/>
        <v>0.9993644326423814</v>
      </c>
      <c r="X76" s="83">
        <f t="shared" si="43"/>
        <v>0.99937754740224916</v>
      </c>
      <c r="Y76" s="83">
        <f t="shared" si="43"/>
        <v>0.99936527854381807</v>
      </c>
      <c r="Z76" s="83">
        <f t="shared" si="43"/>
        <v>0.99853785320521049</v>
      </c>
      <c r="AA76" s="83">
        <f t="shared" si="43"/>
        <v>0.99846111797825754</v>
      </c>
      <c r="AB76" s="83">
        <f t="shared" si="43"/>
        <v>0.99832098354135146</v>
      </c>
      <c r="AC76" s="83">
        <f t="shared" si="43"/>
        <v>0.99939930436253033</v>
      </c>
      <c r="AD76" s="83">
        <f t="shared" si="43"/>
        <v>0.99939045646945657</v>
      </c>
      <c r="AE76" s="83">
        <f t="shared" si="43"/>
        <v>0.99945402158586016</v>
      </c>
      <c r="AF76" s="83">
        <f t="shared" si="43"/>
        <v>0.99842412538099379</v>
      </c>
      <c r="AG76" s="83">
        <f t="shared" si="43"/>
        <v>0.99842439972470565</v>
      </c>
      <c r="AH76" s="83">
        <f t="shared" si="43"/>
        <v>0.99914631524227748</v>
      </c>
      <c r="AI76" s="83">
        <f t="shared" si="43"/>
        <v>0.90936545928067802</v>
      </c>
      <c r="AJ76" s="83">
        <f t="shared" si="43"/>
        <v>0.95666735127775004</v>
      </c>
      <c r="AK76" s="83">
        <f t="shared" si="43"/>
        <v>0.99932289942704611</v>
      </c>
      <c r="AL76" s="83">
        <f t="shared" si="43"/>
        <v>0.99952636268134654</v>
      </c>
      <c r="AM76" s="83">
        <f t="shared" si="43"/>
        <v>0.99851317845846477</v>
      </c>
      <c r="AN76" s="83">
        <f t="shared" si="43"/>
        <v>0.99895640194257185</v>
      </c>
      <c r="AO76" s="83">
        <f t="shared" si="43"/>
        <v>0.99879856178665016</v>
      </c>
      <c r="AP76" s="83">
        <f t="shared" si="43"/>
        <v>0.99876900277760106</v>
      </c>
      <c r="AQ76" s="83">
        <f t="shared" si="43"/>
        <v>0.99878737525363703</v>
      </c>
      <c r="AR76" s="83">
        <f t="shared" si="43"/>
        <v>0.99872140120555308</v>
      </c>
      <c r="AS76" s="83">
        <f t="shared" si="43"/>
        <v>0.99910482446437698</v>
      </c>
      <c r="AT76" s="83">
        <f t="shared" si="43"/>
        <v>0.99900642500613812</v>
      </c>
      <c r="AU76" s="83">
        <f t="shared" si="43"/>
        <v>0.99916106257158066</v>
      </c>
      <c r="AV76" s="83">
        <f t="shared" si="43"/>
        <v>0.99897172951125535</v>
      </c>
      <c r="AW76" s="83">
        <f t="shared" si="43"/>
        <v>0.99940318853771626</v>
      </c>
      <c r="AX76" s="83">
        <f t="shared" si="43"/>
        <v>0.99911610768558834</v>
      </c>
      <c r="AY76" s="83">
        <f t="shared" si="43"/>
        <v>0.99919234325512485</v>
      </c>
      <c r="AZ76" s="83">
        <f t="shared" si="43"/>
        <v>0.99916666013457511</v>
      </c>
      <c r="BA76" s="83">
        <f t="shared" si="43"/>
        <v>0.99808110933851835</v>
      </c>
      <c r="BB76" s="83">
        <f t="shared" si="43"/>
        <v>0.8265959040502272</v>
      </c>
      <c r="BC76" s="83">
        <f t="shared" si="43"/>
        <v>0.99914570930462254</v>
      </c>
      <c r="BD76" s="83">
        <f t="shared" si="43"/>
        <v>0.9989771291853633</v>
      </c>
      <c r="BE76" s="83">
        <f t="shared" si="43"/>
        <v>0.99905999415905888</v>
      </c>
      <c r="BF76" s="83">
        <f t="shared" si="43"/>
        <v>0.99898099846734378</v>
      </c>
      <c r="BG76" s="83">
        <f t="shared" si="43"/>
        <v>0.99907146869265295</v>
      </c>
      <c r="BH76" s="83">
        <f t="shared" si="43"/>
        <v>0.99906920814356781</v>
      </c>
      <c r="BI76" s="83">
        <f t="shared" si="43"/>
        <v>0.99915105059459941</v>
      </c>
      <c r="BJ76" s="83">
        <f t="shared" si="43"/>
        <v>0.99916376816531227</v>
      </c>
      <c r="BK76" s="83">
        <f t="shared" si="43"/>
        <v>0.99883964857461727</v>
      </c>
      <c r="BL76" s="83">
        <f t="shared" si="43"/>
        <v>0.99903362156177733</v>
      </c>
      <c r="BM76" s="83">
        <f t="shared" si="43"/>
        <v>0.99911577619683001</v>
      </c>
      <c r="BN76" s="83">
        <f t="shared" si="43"/>
        <v>0.99900722322595559</v>
      </c>
      <c r="BO76" s="83">
        <f t="shared" si="43"/>
        <v>0.9989481159947845</v>
      </c>
      <c r="BP76" s="83">
        <f t="shared" si="43"/>
        <v>0.99905848689260224</v>
      </c>
      <c r="BQ76" s="83">
        <f t="shared" ref="BQ76:BY76" si="44">BQ65/(BQ66+BQ65)</f>
        <v>0.9991377243759485</v>
      </c>
      <c r="BR76" s="83">
        <f t="shared" si="44"/>
        <v>0.99917275667487271</v>
      </c>
      <c r="BS76" s="83">
        <f t="shared" si="44"/>
        <v>0.99937608308648063</v>
      </c>
      <c r="BT76" s="83">
        <f t="shared" si="44"/>
        <v>0.99920688815058956</v>
      </c>
      <c r="BU76" s="83">
        <f t="shared" si="44"/>
        <v>0.99922896190283106</v>
      </c>
      <c r="BV76" s="83">
        <f t="shared" si="44"/>
        <v>0.99934315542175856</v>
      </c>
      <c r="BW76" s="83">
        <f t="shared" si="44"/>
        <v>0.99945595651815822</v>
      </c>
      <c r="BX76" s="84">
        <f>AVERAGE(I76:BW76)</f>
        <v>0.9945174501393832</v>
      </c>
      <c r="BY76" s="43"/>
      <c r="BZ76" s="44"/>
      <c r="CM76" s="85">
        <f>CM65/(CM66+CM65)</f>
        <v>0.99915285225514527</v>
      </c>
    </row>
    <row r="77" spans="1:91" x14ac:dyDescent="0.2">
      <c r="A77" s="34"/>
      <c r="B77" s="54"/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  <c r="AA77" s="83"/>
      <c r="AB77" s="83"/>
      <c r="AC77" s="83"/>
      <c r="AD77" s="83"/>
      <c r="AE77" s="83"/>
      <c r="AF77" s="83"/>
      <c r="AG77" s="83"/>
      <c r="AH77" s="83"/>
      <c r="AI77" s="83"/>
      <c r="AJ77" s="83"/>
      <c r="AK77" s="83"/>
      <c r="AL77" s="83"/>
      <c r="AM77" s="83"/>
      <c r="AN77" s="83"/>
      <c r="AO77" s="83"/>
      <c r="AP77" s="83"/>
      <c r="AQ77" s="83"/>
      <c r="AR77" s="83"/>
      <c r="AS77" s="83"/>
      <c r="AT77" s="83"/>
      <c r="AU77" s="83"/>
      <c r="AV77" s="83"/>
      <c r="AW77" s="83"/>
      <c r="AX77" s="83"/>
      <c r="AY77" s="83"/>
      <c r="AZ77" s="83"/>
      <c r="BA77" s="83"/>
      <c r="BB77" s="83"/>
      <c r="BC77" s="83"/>
      <c r="BD77" s="83"/>
      <c r="BE77" s="83"/>
      <c r="BF77" s="83"/>
      <c r="BG77" s="83"/>
      <c r="BH77" s="83"/>
      <c r="BI77" s="83"/>
      <c r="BJ77" s="83"/>
      <c r="BK77" s="83"/>
      <c r="BL77" s="83"/>
      <c r="BM77" s="83"/>
      <c r="BN77" s="83"/>
      <c r="BO77" s="83"/>
      <c r="BP77" s="83"/>
      <c r="BQ77" s="83"/>
      <c r="BR77" s="83"/>
      <c r="BS77" s="83"/>
      <c r="BT77" s="83"/>
      <c r="BU77" s="83"/>
      <c r="BV77" s="83"/>
      <c r="BW77" s="83"/>
      <c r="BX77" s="84"/>
      <c r="BY77" s="43"/>
      <c r="BZ77" s="44"/>
    </row>
    <row r="78" spans="1:91" x14ac:dyDescent="0.2">
      <c r="A78" s="34" t="s">
        <v>140</v>
      </c>
      <c r="B78" s="54" t="s">
        <v>141</v>
      </c>
      <c r="C78" s="83">
        <f>C57/(C59+C60)</f>
        <v>0.94236681766138475</v>
      </c>
      <c r="D78" s="83">
        <f t="shared" ref="D78:BO78" si="45">D57/(D59+D60)</f>
        <v>0.94080936662356185</v>
      </c>
      <c r="E78" s="83">
        <f t="shared" si="45"/>
        <v>0.93934792934264966</v>
      </c>
      <c r="F78" s="83">
        <f t="shared" si="45"/>
        <v>0.93527698764454925</v>
      </c>
      <c r="G78" s="83">
        <f t="shared" si="45"/>
        <v>0.93812324284405291</v>
      </c>
      <c r="H78" s="83">
        <f t="shared" si="45"/>
        <v>0.94195169320057948</v>
      </c>
      <c r="I78" s="83">
        <f t="shared" si="45"/>
        <v>0.9415016313254746</v>
      </c>
      <c r="J78" s="83">
        <f t="shared" si="45"/>
        <v>0.94522944751591842</v>
      </c>
      <c r="K78" s="83">
        <f t="shared" si="45"/>
        <v>0.93998560239003492</v>
      </c>
      <c r="L78" s="83">
        <f t="shared" si="45"/>
        <v>0.94279429112986057</v>
      </c>
      <c r="M78" s="83">
        <f t="shared" si="45"/>
        <v>0.93782629198072676</v>
      </c>
      <c r="N78" s="83">
        <f t="shared" si="45"/>
        <v>0.94366993759030415</v>
      </c>
      <c r="O78" s="83">
        <f t="shared" si="45"/>
        <v>0.94078400837893572</v>
      </c>
      <c r="P78" s="83">
        <f t="shared" si="45"/>
        <v>0.94424911742056528</v>
      </c>
      <c r="Q78" s="83">
        <f t="shared" si="45"/>
        <v>0.93086246882732437</v>
      </c>
      <c r="R78" s="83">
        <f t="shared" si="45"/>
        <v>0.93440894672692354</v>
      </c>
      <c r="S78" s="83">
        <f t="shared" si="45"/>
        <v>0.93422079952863524</v>
      </c>
      <c r="T78" s="83">
        <f t="shared" si="45"/>
        <v>0.93502808732989973</v>
      </c>
      <c r="U78" s="83">
        <f t="shared" si="45"/>
        <v>0.93861561063199261</v>
      </c>
      <c r="V78" s="83">
        <f t="shared" si="45"/>
        <v>0.93849754025568344</v>
      </c>
      <c r="W78" s="83">
        <f t="shared" si="45"/>
        <v>0.9334932443190237</v>
      </c>
      <c r="X78" s="83">
        <f t="shared" si="45"/>
        <v>0.94215312918941096</v>
      </c>
      <c r="Y78" s="83">
        <f t="shared" si="45"/>
        <v>0.93558276008150465</v>
      </c>
      <c r="Z78" s="83">
        <f t="shared" si="45"/>
        <v>0.94069119271212387</v>
      </c>
      <c r="AA78" s="83">
        <f t="shared" si="45"/>
        <v>0.93640503003880926</v>
      </c>
      <c r="AB78" s="83">
        <f t="shared" si="45"/>
        <v>0.93820744917088983</v>
      </c>
      <c r="AC78" s="83">
        <f t="shared" si="45"/>
        <v>0.94281926875210809</v>
      </c>
      <c r="AD78" s="83">
        <f t="shared" si="45"/>
        <v>0.94022235500681672</v>
      </c>
      <c r="AE78" s="83">
        <f t="shared" si="45"/>
        <v>0.93778356191229373</v>
      </c>
      <c r="AF78" s="83">
        <f t="shared" si="45"/>
        <v>0.93810946380098892</v>
      </c>
      <c r="AG78" s="83">
        <f t="shared" si="45"/>
        <v>0.93246478263699184</v>
      </c>
      <c r="AH78" s="83">
        <f t="shared" si="45"/>
        <v>0.93833198776385351</v>
      </c>
      <c r="AI78" s="83">
        <f t="shared" si="45"/>
        <v>0.8519684672842065</v>
      </c>
      <c r="AJ78" s="83">
        <f t="shared" si="45"/>
        <v>0.90210580638314697</v>
      </c>
      <c r="AK78" s="83">
        <f t="shared" si="45"/>
        <v>0.93652861208428428</v>
      </c>
      <c r="AL78" s="83">
        <f t="shared" si="45"/>
        <v>0.943455860712202</v>
      </c>
      <c r="AM78" s="83">
        <f t="shared" si="45"/>
        <v>0.93743379293311269</v>
      </c>
      <c r="AN78" s="83">
        <f t="shared" si="45"/>
        <v>0.93318193546290218</v>
      </c>
      <c r="AO78" s="83">
        <f t="shared" si="45"/>
        <v>0.94165362745538561</v>
      </c>
      <c r="AP78" s="83">
        <f t="shared" si="45"/>
        <v>0.93961379771398346</v>
      </c>
      <c r="AQ78" s="83">
        <f t="shared" si="45"/>
        <v>0.93485026714138519</v>
      </c>
      <c r="AR78" s="83">
        <f t="shared" si="45"/>
        <v>0.94077693175841115</v>
      </c>
      <c r="AS78" s="83">
        <f t="shared" si="45"/>
        <v>0.93840695298960131</v>
      </c>
      <c r="AT78" s="83">
        <f t="shared" si="45"/>
        <v>0.93611335150926334</v>
      </c>
      <c r="AU78" s="83">
        <f t="shared" si="45"/>
        <v>0.93688533003121899</v>
      </c>
      <c r="AV78" s="83">
        <f t="shared" si="45"/>
        <v>0.93662551924270998</v>
      </c>
      <c r="AW78" s="83">
        <f t="shared" si="45"/>
        <v>0.96456820777114871</v>
      </c>
      <c r="AX78" s="83">
        <f t="shared" si="45"/>
        <v>0.9410844324109271</v>
      </c>
      <c r="AY78" s="83">
        <f t="shared" si="45"/>
        <v>0.93493493829106633</v>
      </c>
      <c r="AZ78" s="83">
        <f t="shared" si="45"/>
        <v>0.93360242972312646</v>
      </c>
      <c r="BA78" s="83">
        <f t="shared" si="45"/>
        <v>0.93997915707011026</v>
      </c>
      <c r="BB78" s="83">
        <f t="shared" si="45"/>
        <v>0.77667684961345385</v>
      </c>
      <c r="BC78" s="83">
        <f t="shared" si="45"/>
        <v>0.9340907381238619</v>
      </c>
      <c r="BD78" s="83">
        <f t="shared" si="45"/>
        <v>0.93766942048391244</v>
      </c>
      <c r="BE78" s="83">
        <f t="shared" si="45"/>
        <v>0.93932836061252833</v>
      </c>
      <c r="BF78" s="83">
        <f t="shared" si="45"/>
        <v>0.94222059260832747</v>
      </c>
      <c r="BG78" s="83">
        <f t="shared" si="45"/>
        <v>0.93799864829184787</v>
      </c>
      <c r="BH78" s="83">
        <f t="shared" si="45"/>
        <v>0.94167626298425233</v>
      </c>
      <c r="BI78" s="83">
        <f t="shared" si="45"/>
        <v>0.93510963907677414</v>
      </c>
      <c r="BJ78" s="83">
        <f t="shared" si="45"/>
        <v>0.93802079136787653</v>
      </c>
      <c r="BK78" s="83">
        <f t="shared" si="45"/>
        <v>0.93657513001288994</v>
      </c>
      <c r="BL78" s="83">
        <f t="shared" si="45"/>
        <v>0.93632931533385666</v>
      </c>
      <c r="BM78" s="83">
        <f t="shared" si="45"/>
        <v>0.93879175177606977</v>
      </c>
      <c r="BN78" s="83">
        <f t="shared" si="45"/>
        <v>0.93686422752326182</v>
      </c>
      <c r="BO78" s="83">
        <f t="shared" si="45"/>
        <v>0.93594791745545236</v>
      </c>
      <c r="BP78" s="83">
        <f t="shared" ref="BP78:BX78" si="46">BP57/(BP59+BP60)</f>
        <v>0.9408796793526728</v>
      </c>
      <c r="BQ78" s="83">
        <f t="shared" si="46"/>
        <v>0.93660380652758313</v>
      </c>
      <c r="BR78" s="83">
        <f t="shared" si="46"/>
        <v>0.94152278172599169</v>
      </c>
      <c r="BS78" s="83">
        <f t="shared" si="46"/>
        <v>0.94550326095081771</v>
      </c>
      <c r="BT78" s="83">
        <f t="shared" si="46"/>
        <v>0.93390994636878533</v>
      </c>
      <c r="BU78" s="83">
        <f t="shared" si="46"/>
        <v>0.93378180837707236</v>
      </c>
      <c r="BV78" s="83">
        <f t="shared" si="46"/>
        <v>0.94137077851028939</v>
      </c>
      <c r="BW78" s="83">
        <f t="shared" si="46"/>
        <v>0.93865250271555511</v>
      </c>
      <c r="BX78" s="84">
        <f>AVERAGE(I78:BW78)</f>
        <v>0.93443629304743914</v>
      </c>
      <c r="BY78" s="40">
        <f>BX78-BX79</f>
        <v>-1.536047665268403E-2</v>
      </c>
      <c r="BZ78" s="41">
        <f>BX59*BY78</f>
        <v>-12.935380408055432</v>
      </c>
      <c r="CM78" s="85">
        <f>CM57/(CM59+CM60)</f>
        <v>0.93703816070759838</v>
      </c>
    </row>
    <row r="79" spans="1:91" x14ac:dyDescent="0.2">
      <c r="A79" s="34" t="s">
        <v>142</v>
      </c>
      <c r="B79" s="54" t="s">
        <v>143</v>
      </c>
      <c r="C79" s="83">
        <f>C63/(C65+C66)</f>
        <v>0.95682918198831257</v>
      </c>
      <c r="D79" s="83">
        <f t="shared" ref="D79:BO79" si="47">D63/(D65+D66)</f>
        <v>0.95745600573455703</v>
      </c>
      <c r="E79" s="83">
        <f t="shared" si="47"/>
        <v>0.95469307163122352</v>
      </c>
      <c r="F79" s="83">
        <f t="shared" si="47"/>
        <v>0.95202198614622657</v>
      </c>
      <c r="G79" s="83">
        <f t="shared" si="47"/>
        <v>0.95481571555911693</v>
      </c>
      <c r="H79" s="83">
        <f t="shared" si="47"/>
        <v>0.95725386332667561</v>
      </c>
      <c r="I79" s="83">
        <f t="shared" si="47"/>
        <v>0.95731748535266126</v>
      </c>
      <c r="J79" s="83">
        <f t="shared" si="47"/>
        <v>0.95803883277140733</v>
      </c>
      <c r="K79" s="83">
        <f t="shared" si="47"/>
        <v>0.95390847255915823</v>
      </c>
      <c r="L79" s="83">
        <f t="shared" si="47"/>
        <v>0.95687736513687094</v>
      </c>
      <c r="M79" s="83">
        <f t="shared" si="47"/>
        <v>0.95459446852662444</v>
      </c>
      <c r="N79" s="83">
        <f t="shared" si="47"/>
        <v>0.95800767665857467</v>
      </c>
      <c r="O79" s="83">
        <f t="shared" si="47"/>
        <v>0.95608675788968767</v>
      </c>
      <c r="P79" s="83">
        <f t="shared" si="47"/>
        <v>0.95714761836529316</v>
      </c>
      <c r="Q79" s="83">
        <f t="shared" si="47"/>
        <v>0.95097569136045901</v>
      </c>
      <c r="R79" s="83">
        <f t="shared" si="47"/>
        <v>0.95030364940920653</v>
      </c>
      <c r="S79" s="83">
        <f t="shared" si="47"/>
        <v>0.95105584699501344</v>
      </c>
      <c r="T79" s="83">
        <f t="shared" si="47"/>
        <v>0.95233359570406861</v>
      </c>
      <c r="U79" s="83">
        <f t="shared" si="47"/>
        <v>0.95348635558808981</v>
      </c>
      <c r="V79" s="83">
        <f t="shared" si="47"/>
        <v>0.95416098138591066</v>
      </c>
      <c r="W79" s="83">
        <f t="shared" si="47"/>
        <v>0.95053649203840018</v>
      </c>
      <c r="X79" s="83">
        <f t="shared" si="47"/>
        <v>0.9560800386621533</v>
      </c>
      <c r="Y79" s="83">
        <f t="shared" si="47"/>
        <v>0.95242159899565049</v>
      </c>
      <c r="Z79" s="83">
        <f t="shared" si="47"/>
        <v>0.95575331937536434</v>
      </c>
      <c r="AA79" s="83">
        <f t="shared" si="47"/>
        <v>0.95331566979866555</v>
      </c>
      <c r="AB79" s="83">
        <f t="shared" si="47"/>
        <v>0.95307637249917743</v>
      </c>
      <c r="AC79" s="83">
        <f t="shared" si="47"/>
        <v>0.95628156978713263</v>
      </c>
      <c r="AD79" s="83">
        <f t="shared" si="47"/>
        <v>0.95464252562332985</v>
      </c>
      <c r="AE79" s="83">
        <f t="shared" si="47"/>
        <v>0.95413952587076578</v>
      </c>
      <c r="AF79" s="83">
        <f t="shared" si="47"/>
        <v>0.9536417470618862</v>
      </c>
      <c r="AG79" s="83">
        <f t="shared" si="47"/>
        <v>0.94929440069716875</v>
      </c>
      <c r="AH79" s="83">
        <f t="shared" si="47"/>
        <v>0.95324635272554148</v>
      </c>
      <c r="AI79" s="83">
        <f t="shared" si="47"/>
        <v>0.86612333262725594</v>
      </c>
      <c r="AJ79" s="83">
        <f t="shared" si="47"/>
        <v>0.9151000396035921</v>
      </c>
      <c r="AK79" s="83">
        <f t="shared" si="47"/>
        <v>0.95215815589947927</v>
      </c>
      <c r="AL79" s="83">
        <f t="shared" si="47"/>
        <v>0.95784979796751257</v>
      </c>
      <c r="AM79" s="83">
        <f t="shared" si="47"/>
        <v>0.95316549322261857</v>
      </c>
      <c r="AN79" s="83">
        <f t="shared" si="47"/>
        <v>0.95022475608634449</v>
      </c>
      <c r="AO79" s="83">
        <f t="shared" si="47"/>
        <v>0.95544305961745313</v>
      </c>
      <c r="AP79" s="83">
        <f t="shared" si="47"/>
        <v>0.95461807494050166</v>
      </c>
      <c r="AQ79" s="83">
        <f t="shared" si="47"/>
        <v>0.95215642056465011</v>
      </c>
      <c r="AR79" s="83">
        <f t="shared" si="47"/>
        <v>0.95532542589756275</v>
      </c>
      <c r="AS79" s="83">
        <f t="shared" si="47"/>
        <v>0.95437134294622128</v>
      </c>
      <c r="AT79" s="83">
        <f t="shared" si="47"/>
        <v>0.95316896771214854</v>
      </c>
      <c r="AU79" s="83">
        <f t="shared" si="47"/>
        <v>0.95350244757146907</v>
      </c>
      <c r="AV79" s="83">
        <f t="shared" si="47"/>
        <v>0.95147894358216423</v>
      </c>
      <c r="AW79" s="83">
        <f t="shared" si="47"/>
        <v>0.97181101871923115</v>
      </c>
      <c r="AX79" s="83">
        <f t="shared" si="47"/>
        <v>0.95611319810853579</v>
      </c>
      <c r="AY79" s="83">
        <f t="shared" si="47"/>
        <v>0.95090535388089736</v>
      </c>
      <c r="AZ79" s="83">
        <f t="shared" si="47"/>
        <v>0.95041067924370082</v>
      </c>
      <c r="BA79" s="83">
        <f t="shared" si="47"/>
        <v>0.95431240195671463</v>
      </c>
      <c r="BB79" s="83">
        <f t="shared" si="47"/>
        <v>0.78884159497735229</v>
      </c>
      <c r="BC79" s="83">
        <f t="shared" si="47"/>
        <v>0.95133537568374615</v>
      </c>
      <c r="BD79" s="83">
        <f t="shared" si="47"/>
        <v>0.95210635190033699</v>
      </c>
      <c r="BE79" s="83">
        <f t="shared" si="47"/>
        <v>0.95379352395651495</v>
      </c>
      <c r="BF79" s="83">
        <f t="shared" si="47"/>
        <v>0.95647211901866536</v>
      </c>
      <c r="BG79" s="83">
        <f t="shared" si="47"/>
        <v>0.95306649740251792</v>
      </c>
      <c r="BH79" s="83">
        <f t="shared" si="47"/>
        <v>0.95541370649132618</v>
      </c>
      <c r="BI79" s="83">
        <f t="shared" si="47"/>
        <v>0.95233690481910971</v>
      </c>
      <c r="BJ79" s="83">
        <f t="shared" si="47"/>
        <v>0.9534880788267136</v>
      </c>
      <c r="BK79" s="83">
        <f t="shared" si="47"/>
        <v>0.95252599195116316</v>
      </c>
      <c r="BL79" s="83">
        <f t="shared" si="47"/>
        <v>0.95189803534561612</v>
      </c>
      <c r="BM79" s="83">
        <f t="shared" si="47"/>
        <v>0.95478865569454541</v>
      </c>
      <c r="BN79" s="83">
        <f t="shared" si="47"/>
        <v>0.95362674056244889</v>
      </c>
      <c r="BO79" s="83">
        <f t="shared" si="47"/>
        <v>0.952405106818349</v>
      </c>
      <c r="BP79" s="83">
        <f t="shared" ref="BP79:BX79" si="48">BP63/(BP65+BP66)</f>
        <v>0.95654857967071905</v>
      </c>
      <c r="BQ79" s="83">
        <f t="shared" si="48"/>
        <v>0.95442756864944134</v>
      </c>
      <c r="BR79" s="83">
        <f t="shared" si="48"/>
        <v>0.95678187858897645</v>
      </c>
      <c r="BS79" s="83">
        <f t="shared" si="48"/>
        <v>0.95795067067884132</v>
      </c>
      <c r="BT79" s="83">
        <f t="shared" si="48"/>
        <v>0.95155122782209911</v>
      </c>
      <c r="BU79" s="83">
        <f t="shared" si="48"/>
        <v>0.95105532640030765</v>
      </c>
      <c r="BV79" s="83">
        <f t="shared" si="48"/>
        <v>0.95729019520985781</v>
      </c>
      <c r="BW79" s="83">
        <f t="shared" si="48"/>
        <v>0.95371611845328941</v>
      </c>
      <c r="BX79" s="84">
        <f>AVERAGE(I79:BW79)</f>
        <v>0.94979676970012317</v>
      </c>
      <c r="BY79" s="43"/>
      <c r="BZ79" s="44"/>
      <c r="CM79" s="85">
        <f>CM63/(CM65+CM66)</f>
        <v>0.9541546455579254</v>
      </c>
    </row>
    <row r="80" spans="1:91" ht="17" thickBot="1" x14ac:dyDescent="0.25"/>
    <row r="81" spans="1:2" ht="17" thickBot="1" x14ac:dyDescent="0.25">
      <c r="A81" s="88" t="s">
        <v>144</v>
      </c>
      <c r="B81" s="89">
        <v>73</v>
      </c>
    </row>
  </sheetData>
  <conditionalFormatting sqref="A59:A60 A56:A57">
    <cfRule type="duplicateValues" dxfId="2" priority="2"/>
  </conditionalFormatting>
  <conditionalFormatting sqref="C63:BW63 CM63">
    <cfRule type="duplicateValues" dxfId="1" priority="3"/>
  </conditionalFormatting>
  <conditionalFormatting sqref="BY57 C56:BS57 CM56:CM57 BT57:BW57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mapping_combined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Chiara Folland</dc:creator>
  <cp:lastModifiedBy>Chiara Folland</cp:lastModifiedBy>
  <dcterms:created xsi:type="dcterms:W3CDTF">2025-12-17T06:19:02Z</dcterms:created>
  <dcterms:modified xsi:type="dcterms:W3CDTF">2025-12-17T06:19:27Z</dcterms:modified>
</cp:coreProperties>
</file>